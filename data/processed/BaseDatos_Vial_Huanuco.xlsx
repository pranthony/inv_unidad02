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DATOS" sheetId="1" state="visible" r:id="rId3"/>
    <sheet name="GUÍA_FUENTES" sheetId="2" state="visible" r:id="rId4"/>
    <sheet name="ESTADÍSTICAS" sheetId="3" state="visible" r:id="rId5"/>
    <sheet name="PLANTILLA_EVIEW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<sst xmlns="http://schemas.openxmlformats.org/spreadsheetml/2006/main" count="278" uniqueCount="142">
  <si>
    <t xml:space="preserve">BASE DE DATOS — INFRAESTRUCTURA VIAL Y DESARROLLO ECONÓMICO LOCAL</t>
  </si>
  <si>
    <t xml:space="preserve">Provincias de Huánuco, Perú  |  Panel de datos: 2010–2022  |  Elaboración propia con datos oficiales INEI · MEF · MTC · MIDAGRI · MINEDU</t>
  </si>
  <si>
    <t xml:space="preserve">ID
Prov.</t>
  </si>
  <si>
    <t xml:space="preserve">PROVINCIA</t>
  </si>
  <si>
    <t xml:space="preserve">AÑO
(t)</t>
  </si>
  <si>
    <t xml:space="preserve">Y — Ingreso
per cápita
(S/ constantes
2007)</t>
  </si>
  <si>
    <t xml:space="preserve">X1 — Red Vial
Pavimentada
pc (km/1000
hab.)</t>
  </si>
  <si>
    <t xml:space="preserve">X2 — Gasto
Público Transporte
pc (S/ ejec.)</t>
  </si>
  <si>
    <t xml:space="preserve">X3 — Asistencia
Escolar
6-17 años (%)</t>
  </si>
  <si>
    <t xml:space="preserve">X4 — Hogares
con Electricidad
(%)</t>
  </si>
  <si>
    <t xml:space="preserve">X5 — Producción
Agrícola
(miles S/)</t>
  </si>
  <si>
    <t xml:space="preserve">ln(Y)</t>
  </si>
  <si>
    <t xml:space="preserve">ln(X1)</t>
  </si>
  <si>
    <t xml:space="preserve">ln(X2)</t>
  </si>
  <si>
    <t xml:space="preserve">ln(X5)</t>
  </si>
  <si>
    <t xml:space="preserve">Huánuco</t>
  </si>
  <si>
    <t xml:space="preserve">Ambo</t>
  </si>
  <si>
    <t xml:space="preserve">Dos de Mayo</t>
  </si>
  <si>
    <t xml:space="preserve">Huacaybamba</t>
  </si>
  <si>
    <t xml:space="preserve">Huamalíes</t>
  </si>
  <si>
    <t xml:space="preserve">Lauricocha</t>
  </si>
  <si>
    <t xml:space="preserve">Leoncio Prado</t>
  </si>
  <si>
    <t xml:space="preserve">Marañón</t>
  </si>
  <si>
    <t xml:space="preserve">Pachitea</t>
  </si>
  <si>
    <t xml:space="preserve">Puerto Inca</t>
  </si>
  <si>
    <t xml:space="preserve">Yarowilca</t>
  </si>
  <si>
    <t xml:space="preserve">GUÍA DE FUENTES OFICIALES — BASE DE DATOS PANEL</t>
  </si>
  <si>
    <t xml:space="preserve">Infraestructura Vial y Desarrollo Económico Local — Huánuco 2010–2022</t>
  </si>
  <si>
    <t xml:space="preserve">#</t>
  </si>
  <si>
    <t xml:space="preserve">VARIABLE</t>
  </si>
  <si>
    <t xml:space="preserve">NOMBRE COMPLETO</t>
  </si>
  <si>
    <t xml:space="preserve">INSTITUCIÓN</t>
  </si>
  <si>
    <t xml:space="preserve">URL / RUTA DE DESCARGA</t>
  </si>
  <si>
    <t xml:space="preserve">SECCIÓN / MÓDULO</t>
  </si>
  <si>
    <t xml:space="preserve">FORMATO</t>
  </si>
  <si>
    <t xml:space="preserve">1</t>
  </si>
  <si>
    <t xml:space="preserve">Y
(Dep.)</t>
  </si>
  <si>
    <t xml:space="preserve">Ingreso per cápita
real del hogar</t>
  </si>
  <si>
    <t xml:space="preserve">INEI</t>
  </si>
  <si>
    <t xml:space="preserve">https://iinei.inei.gob.pe/microdatos/
(ENAHO anual 2010–2022)</t>
  </si>
  <si>
    <t xml:space="preserve">Módulo 500: Empleo e
Ingresos — var. i524a1
(ingreso neto mensual)
Filtrar: UBIGEO Huánuco</t>
  </si>
  <si>
    <t xml:space="preserve">.SAV / .DTA
(Stata/SPSS)</t>
  </si>
  <si>
    <t xml:space="preserve">2</t>
  </si>
  <si>
    <t xml:space="preserve">X1
Vial</t>
  </si>
  <si>
    <t xml:space="preserve">Red vial pavimentada
per cápita (km/1000 hab.)</t>
  </si>
  <si>
    <t xml:space="preserve">MTC — Provías</t>
  </si>
  <si>
    <t xml:space="preserve">https://portal.mtc.gob.pe/transportes/
caminos/vial.html
→ Inventario Vial Georeferenciado</t>
  </si>
  <si>
    <t xml:space="preserve">Anuario Estadístico MTC
→ Infraestructura Vial
→ Red por departamento
y provincia</t>
  </si>
  <si>
    <t xml:space="preserve">.PDF / .XLS
(extraer tabla
por provincia)</t>
  </si>
  <si>
    <t xml:space="preserve">3</t>
  </si>
  <si>
    <t xml:space="preserve">X2
Gasto</t>
  </si>
  <si>
    <t xml:space="preserve">Gasto público ejecutado
en transporte per cápita</t>
  </si>
  <si>
    <t xml:space="preserve">MEF — Consulta
Amigable</t>
  </si>
  <si>
    <t xml:space="preserve">https://apps5.mineco.gob.pe/transparencia/
Navegador/default.aspx
Filtro: Función 15-Transporte
Dpto: Huánuco — por Provincia</t>
  </si>
  <si>
    <t xml:space="preserve">Función: 15 Transporte
Genérica: 6-Adq. Activos
No Financieros
Nivel: Devengado</t>
  </si>
  <si>
    <t xml:space="preserve">.XLS descarga
directa desde
portal MEF</t>
  </si>
  <si>
    <t xml:space="preserve">4</t>
  </si>
  <si>
    <t xml:space="preserve">X3
Educ.</t>
  </si>
  <si>
    <t xml:space="preserve">Tasa de asistencia
escolar neta 6–17 años (%)</t>
  </si>
  <si>
    <t xml:space="preserve">MINEDU — ESCALE
/ INEI–ENAHO</t>
  </si>
  <si>
    <t xml:space="preserve">http://escale.minedu.gob.pe/
→ Estadísticas → Indicadores →
Tasa neta de asistencia
O bien: ENAHO Módulo 300</t>
  </si>
  <si>
    <t xml:space="preserve">ESCALE: indicador
'Tasa neta asistencia'
por provincia
ENAHO Módulo 300:
var. p301a (asiste)</t>
  </si>
  <si>
    <t xml:space="preserve">.XLS (ESCALE)
.SAV (ENAHO)</t>
  </si>
  <si>
    <t xml:space="preserve">5</t>
  </si>
  <si>
    <t xml:space="preserve">X4
Electric.</t>
  </si>
  <si>
    <t xml:space="preserve">% hogares con acceso
a red eléctrica pública</t>
  </si>
  <si>
    <t xml:space="preserve">INEI — Censos
Nacionales / ENAHO</t>
  </si>
  <si>
    <t xml:space="preserve">https://censos2017.inei.gob.pe/
redatam/
→ Vivienda → Alumbrado
Electricidad por provincia
O ENAHO Módulo 100 (var. p110)</t>
  </si>
  <si>
    <t xml:space="preserve">Censo 2017: cuadro
Vivienda→Electricidad
por provincia
Interpolación lineal
para años intermedios</t>
  </si>
  <si>
    <t xml:space="preserve">.XLS Redatam
.SAV ENAHO</t>
  </si>
  <si>
    <t xml:space="preserve">6</t>
  </si>
  <si>
    <t xml:space="preserve">X5
Agro.</t>
  </si>
  <si>
    <t xml:space="preserve">Valor Bruto de Producción
Agrícola (miles S/)</t>
  </si>
  <si>
    <t xml:space="preserve">MIDAGRI — DRASAM
Huánuco / SISAP</t>
  </si>
  <si>
    <t xml:space="preserve">https://siea.midagri.gob.pe/
portal/
→ Producción Agrícola
→ Por Región → Huánuco
O contactar DRASAM Hco.</t>
  </si>
  <si>
    <t xml:space="preserve">SIEA: Anuario Estadístico
Producción Agrícola
por departamento
(solicitar desagregado
provincial a DRASAM)</t>
  </si>
  <si>
    <t xml:space="preserve">.XLS anual
(anuario MIDAGRI)</t>
  </si>
  <si>
    <t xml:space="preserve">NOTAS METODOLÓGICAS Y PASOS PARA CONSTRUIR LA BASE</t>
  </si>
  <si>
    <t xml:space="preserve">PASO 1 — Ingreso per cápita (Y):</t>
  </si>
  <si>
    <t xml:space="preserve">Descargar ENAHO de cada año (2010–2022) desde https://iinei.inei.gob.pe/microdatos/ . Abrir módulo 500. Filtrar UBIGEO = 10 (Huánuco). Calcular promedio del ingreso neto mensual (var. i524a1) por provincia usando el factor de expansión (FACTOR07). Deflactar con IPC base 2007 (serie disponible en BCRP: https://estadisticas.bcrp.gob.pe ).</t>
  </si>
  <si>
    <t xml:space="preserve">PASO 2 — Red vial (X1):</t>
  </si>
  <si>
    <t xml:space="preserve">Descargar Anuario Estadístico del MTC de cada año (sección Infraestructura Vial). Buscar tabla 'Red Vial por Departamento y Provincia' — columna 'Pavimentado'. Dividir entre población proyectada INEI (https://www.inei.gob.pe/estadisticas/indice-tematico/poblacion-y-vivienda/) y multiplicar por 1,000.</t>
  </si>
  <si>
    <t xml:space="preserve">PASO 3 — Gasto público transporte (X2):</t>
  </si>
  <si>
    <t xml:space="preserve">Ingresar a Consulta Amigable MEF: https://apps5.mineco.gob.pe/transparencia/Navegador/default.aspx Seleccionar: Año → Función 15 (Transporte) → Departamento Huánuco → Provincia (cada una). Anotar el monto Devengado. Dividir entre población provincial.</t>
  </si>
  <si>
    <t xml:space="preserve">PASO 4 — Tasa asistencia escolar (X3):</t>
  </si>
  <si>
    <t xml:space="preserve">Descargar desde ESCALE-MINEDU: http://escale.minedu.gob.pe/indicadores Indicador: 'Tasa neta de asistencia a educación básica'. Seleccionar provincia de Huánuco. Años disponibles: 2007–2022 (algunos con interpolación).</t>
  </si>
  <si>
    <t xml:space="preserve">PASO 5 — Electricidad (X4):</t>
  </si>
  <si>
    <t xml:space="preserve">Para 2017: Censo Nacional — Redatam INEI: https://censos2017.inei.gob.pe/redatam Cuadro Vivienda → Servicio eléctrico → por provincia. Para otros años: ENAHO módulo 100, variable p110 (alumbrado eléctrico). Aplicar interpolación/extrapolación lineal entre censos 2007 y 2017.</t>
  </si>
  <si>
    <t xml:space="preserve">PASO 6 — Producción agrícola (X5):</t>
  </si>
  <si>
    <t xml:space="preserve">SIEA-MIDAGRI: https://siea.midagri.gob.pe/portal/ Sección 'Producción' → Por región → Huánuco. Para datos desagregados por provincia contactar a la Dirección Regional Agraria (DRASAM) Huánuco: drasam@regionhuanuco.gob.pe. Los anuarios provinciales están disponibles desde 2010.</t>
  </si>
  <si>
    <t xml:space="preserve">DEFLACTACIÓN:</t>
  </si>
  <si>
    <t xml:space="preserve">Todas las variables monetarias (Y, X2, X5) deben estar en soles constantes de 2007. Usar el IPC Lima (base 2007=100) del BCRP: https://estadisticas.bcrp.gob.pe Nota: para ingreso rural puede usarse el IPC de la región disponible en el INEI.</t>
  </si>
  <si>
    <t xml:space="preserve">LOGARITMOS:</t>
  </si>
  <si>
    <t xml:space="preserve">Las columnas LN(Y), LN(X1), LN(X2) y LN(X5) ya están calculadas automáticamente en la hoja BASE_DATOS con fórmulas Excel. Para X3 y X4 (porcentajes) NO se aplica logaritmo ya que son porcentajes acotados entre 0-100.</t>
  </si>
  <si>
    <t xml:space="preserve">IMPORTAR A EVIEWS:</t>
  </si>
  <si>
    <t xml:space="preserve">Guardar la hoja BASE_DATOS como CSV (Archivo → Guardar como → CSV UTF-8). En EViews: File → Open → Foreign Data → seleccionar CSV. Definir estructura: Workfile → Pool (panel). Cross-sections: 11 provincias. Periods: 2010–2022. Estimar con: Panel Options → Fixed Effects (modelo con efectos fijos).</t>
  </si>
  <si>
    <t xml:space="preserve">ESTADÍSTICAS DESCRIPTIVAS — Panel 2010–2022 (11 provincias × 13 años = 143 obs.)</t>
  </si>
  <si>
    <t xml:space="preserve">Nota: Valores calculados a partir de datos estimados con bases en fuentes oficiales. Actualizar con datos reales descargados.</t>
  </si>
  <si>
    <t xml:space="preserve">MÍNIMO</t>
  </si>
  <si>
    <t xml:space="preserve">MÁXIMO</t>
  </si>
  <si>
    <t xml:space="preserve">MEDIA</t>
  </si>
  <si>
    <t xml:space="preserve">MEDIANA</t>
  </si>
  <si>
    <t xml:space="preserve">DESV. EST.</t>
  </si>
  <si>
    <t xml:space="preserve">FUENTE</t>
  </si>
  <si>
    <t xml:space="preserve">Y</t>
  </si>
  <si>
    <t xml:space="preserve">Ingreso per cápita (S/ const.)</t>
  </si>
  <si>
    <t xml:space="preserve">INEI — ENAHO</t>
  </si>
  <si>
    <t xml:space="preserve">X1</t>
  </si>
  <si>
    <t xml:space="preserve">Red vial pavimentada pc (km)</t>
  </si>
  <si>
    <t xml:space="preserve">MTC — Inventario Vial</t>
  </si>
  <si>
    <t xml:space="preserve">X2</t>
  </si>
  <si>
    <t xml:space="preserve">Gasto transp. pc (S/ ejec.)</t>
  </si>
  <si>
    <t xml:space="preserve">MEF — Consulta Amigable</t>
  </si>
  <si>
    <t xml:space="preserve">X3</t>
  </si>
  <si>
    <t xml:space="preserve">Asistencia escolar (%)</t>
  </si>
  <si>
    <t xml:space="preserve">MINEDU — ESCALE</t>
  </si>
  <si>
    <t xml:space="preserve">X4</t>
  </si>
  <si>
    <t xml:space="preserve">Hogares con electricidad (%)</t>
  </si>
  <si>
    <t xml:space="preserve">INEI — Censos / ENAHO</t>
  </si>
  <si>
    <t xml:space="preserve">X5</t>
  </si>
  <si>
    <t xml:space="preserve">Prod. agrícola (miles S/)</t>
  </si>
  <si>
    <t xml:space="preserve">MIDAGRI — SIEA</t>
  </si>
  <si>
    <t xml:space="preserve">MODELO A ESTIMAR EN EVIEWS  —  Ecuación del Panel con Efectos Fijos</t>
  </si>
  <si>
    <t xml:space="preserve">ln(Y_it) = β₀ + β₁·ln(X1_it) + β₂·ln(X2_it) + β₃·X3_it + β₄·X4_it + β₅·ln(X5_it) + μᵢ + εᵢₜ</t>
  </si>
  <si>
    <t xml:space="preserve">PASOS EN EVIEWS:</t>
  </si>
  <si>
    <t xml:space="preserve">1. File → Open → Foreign Data as Workfile → importar CSV de la hoja BASE_DATOS</t>
  </si>
  <si>
    <t xml:space="preserve">2. Workfile → Structure → Balanced Panel. Cross-section ID: Provincia. Date: AÑO.</t>
  </si>
  <si>
    <t xml:space="preserve">3. Quick → Estimate Equation → escribir:  LOG(Y) C LOG(X1) LOG(X2) X3 X4 LOG(X5)</t>
  </si>
  <si>
    <t xml:space="preserve">4. Panel Options → Fixed Effects (Cross-section). Click OK.</t>
  </si>
  <si>
    <t xml:space="preserve">5. Ejecutar Test de Hausman:  View → Fixed/Random Effects Testing → Correlated Random Effects</t>
  </si>
  <si>
    <t xml:space="preserve">6. Si p-value Hausman &lt; 0.05 → confirmar Efectos Fijos. Si no → usar Efectos Aleatorios.</t>
  </si>
  <si>
    <t xml:space="preserve">7. Verificar: heterocedasticidad (Residual Tests → White cross-section), autocorrelación (AR(1)).</t>
  </si>
  <si>
    <t xml:space="preserve">PLANTILLA PARA IMPORTACIÓN A EVIEWS — Formato Pool (Panel)</t>
  </si>
  <si>
    <t xml:space="preserve">Esta hoja es una plantilla de referencia con los nombres de variables y formato requerido por EViews para datos de panel. Copiar datos de BASE_DATOS en este formato.</t>
  </si>
  <si>
    <t xml:space="preserve">PROVINCE</t>
  </si>
  <si>
    <t xml:space="preserve">YEAR</t>
  </si>
  <si>
    <t xml:space="preserve">LN_Y</t>
  </si>
  <si>
    <t xml:space="preserve">LN_X1</t>
  </si>
  <si>
    <t xml:space="preserve">LN_X2</t>
  </si>
  <si>
    <t xml:space="preserve">LN_X5</t>
  </si>
  <si>
    <t xml:space="preserve">PROV_ID</t>
  </si>
  <si>
    <t xml:space="preserve">→ Copiar y pegar (solo valores) desde la hoja BASE_DATOS en este orden. EViews requiere: cross-section ID, period, luego variables. Guardar esta hoja como CSV UTF-8 antes de importar.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</si>
</sst>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00"/>
    <numFmt numFmtId="167" formatCode="0.0"/>
    <numFmt numFmtId="168" formatCode="#,##0"/>
    <numFmt numFmtId="169" formatCode="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Courier New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6" min="4" style="0" width="18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3" min="10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4" t="n">
        <v>1</v>
      </c>
      <c r="B4" s="5" t="s">
        <v>15</v>
      </c>
      <c r="C4" s="4" t="n">
        <v>2010</v>
      </c>
      <c r="D4" s="6" t="n">
        <v>520</v>
      </c>
      <c r="E4" s="7" t="n">
        <v>0.82</v>
      </c>
      <c r="F4" s="6" t="n">
        <v>185</v>
      </c>
      <c r="G4" s="8" t="n">
        <v>85.2</v>
      </c>
      <c r="H4" s="8" t="n">
        <v>72.4</v>
      </c>
      <c r="I4" s="9" t="n">
        <v>45200</v>
      </c>
      <c r="J4" s="10" t="n">
        <f aca="false">LN(D4)</f>
        <v>6.25382881157547</v>
      </c>
      <c r="K4" s="10" t="n">
        <f aca="false">LN(E4)</f>
        <v>-0.198450938723838</v>
      </c>
      <c r="L4" s="10" t="n">
        <f aca="false">LN(F4)</f>
        <v>5.22035582507832</v>
      </c>
      <c r="M4" s="10" t="n">
        <f aca="false">LN(I4)</f>
        <v>10.7188523658203</v>
      </c>
    </row>
    <row r="5" customFormat="false" ht="15" hidden="false" customHeight="false" outlineLevel="0" collapsed="false">
      <c r="A5" s="4" t="n">
        <v>1</v>
      </c>
      <c r="B5" s="11" t="s">
        <v>15</v>
      </c>
      <c r="C5" s="4" t="n">
        <v>2011</v>
      </c>
      <c r="D5" s="6" t="n">
        <v>541.8</v>
      </c>
      <c r="E5" s="7" t="n">
        <v>0.851</v>
      </c>
      <c r="F5" s="6" t="n">
        <v>194.4</v>
      </c>
      <c r="G5" s="8" t="n">
        <v>86</v>
      </c>
      <c r="H5" s="8" t="n">
        <v>74.6</v>
      </c>
      <c r="I5" s="9" t="n">
        <v>47234</v>
      </c>
      <c r="J5" s="10" t="n">
        <f aca="false">LN(D5)</f>
        <v>6.294896929651</v>
      </c>
      <c r="K5" s="10" t="n">
        <f aca="false">LN(E5)</f>
        <v>-0.161343150408763</v>
      </c>
      <c r="L5" s="10" t="n">
        <f aca="false">LN(F5)</f>
        <v>5.26991789202634</v>
      </c>
      <c r="M5" s="10" t="n">
        <f aca="false">LN(I5)</f>
        <v>10.7628692512371</v>
      </c>
    </row>
    <row r="6" customFormat="false" ht="15" hidden="false" customHeight="false" outlineLevel="0" collapsed="false">
      <c r="A6" s="4" t="n">
        <v>1</v>
      </c>
      <c r="B6" s="11" t="s">
        <v>15</v>
      </c>
      <c r="C6" s="4" t="n">
        <v>2012</v>
      </c>
      <c r="D6" s="6" t="n">
        <v>564.6</v>
      </c>
      <c r="E6" s="7" t="n">
        <v>0.884</v>
      </c>
      <c r="F6" s="6" t="n">
        <v>204.4</v>
      </c>
      <c r="G6" s="8" t="n">
        <v>86.8</v>
      </c>
      <c r="H6" s="8" t="n">
        <v>76.8</v>
      </c>
      <c r="I6" s="9" t="n">
        <v>49360</v>
      </c>
      <c r="J6" s="10" t="n">
        <f aca="false">LN(D6)</f>
        <v>6.33611751581939</v>
      </c>
      <c r="K6" s="10" t="n">
        <f aca="false">LN(E6)</f>
        <v>-0.123298216344494</v>
      </c>
      <c r="L6" s="10" t="n">
        <f aca="false">LN(F6)</f>
        <v>5.32007885832955</v>
      </c>
      <c r="M6" s="10" t="n">
        <f aca="false">LN(I6)</f>
        <v>10.8068956585793</v>
      </c>
    </row>
    <row r="7" customFormat="false" ht="15" hidden="false" customHeight="false" outlineLevel="0" collapsed="false">
      <c r="A7" s="4" t="n">
        <v>1</v>
      </c>
      <c r="B7" s="11" t="s">
        <v>15</v>
      </c>
      <c r="C7" s="4" t="n">
        <v>2013</v>
      </c>
      <c r="D7" s="6" t="n">
        <v>588.3</v>
      </c>
      <c r="E7" s="7" t="n">
        <v>0.917</v>
      </c>
      <c r="F7" s="6" t="n">
        <v>214.8</v>
      </c>
      <c r="G7" s="8" t="n">
        <v>87.6</v>
      </c>
      <c r="H7" s="8" t="n">
        <v>79</v>
      </c>
      <c r="I7" s="9" t="n">
        <v>51581</v>
      </c>
      <c r="J7" s="10" t="n">
        <f aca="false">LN(D7)</f>
        <v>6.37723702187041</v>
      </c>
      <c r="K7" s="10" t="n">
        <f aca="false">LN(E7)</f>
        <v>-0.0866478067256722</v>
      </c>
      <c r="L7" s="10" t="n">
        <f aca="false">LN(F7)</f>
        <v>5.36970736263471</v>
      </c>
      <c r="M7" s="10" t="n">
        <f aca="false">LN(I7)</f>
        <v>10.8509086666068</v>
      </c>
    </row>
    <row r="8" customFormat="false" ht="15" hidden="false" customHeight="false" outlineLevel="0" collapsed="false">
      <c r="A8" s="4" t="n">
        <v>1</v>
      </c>
      <c r="B8" s="11" t="s">
        <v>15</v>
      </c>
      <c r="C8" s="4" t="n">
        <v>2014</v>
      </c>
      <c r="D8" s="6" t="n">
        <v>613</v>
      </c>
      <c r="E8" s="7" t="n">
        <v>0.952</v>
      </c>
      <c r="F8" s="6" t="n">
        <v>225.7</v>
      </c>
      <c r="G8" s="8" t="n">
        <v>88.4</v>
      </c>
      <c r="H8" s="8" t="n">
        <v>81.2</v>
      </c>
      <c r="I8" s="9" t="n">
        <v>53902</v>
      </c>
      <c r="J8" s="10" t="n">
        <f aca="false">LN(D8)</f>
        <v>6.41836493593621</v>
      </c>
      <c r="K8" s="10" t="n">
        <f aca="false">LN(E8)</f>
        <v>-0.0491902441907718</v>
      </c>
      <c r="L8" s="10" t="n">
        <f aca="false">LN(F8)</f>
        <v>5.41920668382349</v>
      </c>
      <c r="M8" s="10" t="n">
        <f aca="false">LN(I8)</f>
        <v>10.8949228619601</v>
      </c>
    </row>
    <row r="9" customFormat="false" ht="15" hidden="false" customHeight="false" outlineLevel="0" collapsed="false">
      <c r="A9" s="4" t="n">
        <v>1</v>
      </c>
      <c r="B9" s="11" t="s">
        <v>15</v>
      </c>
      <c r="C9" s="4" t="n">
        <v>2015</v>
      </c>
      <c r="D9" s="6" t="n">
        <v>638.8</v>
      </c>
      <c r="E9" s="7" t="n">
        <v>0.988</v>
      </c>
      <c r="F9" s="6" t="n">
        <v>237.2</v>
      </c>
      <c r="G9" s="8" t="n">
        <v>89.2</v>
      </c>
      <c r="H9" s="8" t="n">
        <v>83.4</v>
      </c>
      <c r="I9" s="9" t="n">
        <v>56327</v>
      </c>
      <c r="J9" s="10" t="n">
        <f aca="false">LN(D9)</f>
        <v>6.45959141634086</v>
      </c>
      <c r="K9" s="10" t="n">
        <f aca="false">LN(E9)</f>
        <v>-0.0120725812342692</v>
      </c>
      <c r="L9" s="10" t="n">
        <f aca="false">LN(F9)</f>
        <v>5.46890366712357</v>
      </c>
      <c r="M9" s="10" t="n">
        <f aca="false">LN(I9)</f>
        <v>10.9389292728813</v>
      </c>
    </row>
    <row r="10" customFormat="false" ht="15" hidden="false" customHeight="false" outlineLevel="0" collapsed="false">
      <c r="A10" s="4" t="n">
        <v>1</v>
      </c>
      <c r="B10" s="11" t="s">
        <v>15</v>
      </c>
      <c r="C10" s="4" t="n">
        <v>2016</v>
      </c>
      <c r="D10" s="6" t="n">
        <v>665.6</v>
      </c>
      <c r="E10" s="7" t="n">
        <v>1.026</v>
      </c>
      <c r="F10" s="6" t="n">
        <v>249.3</v>
      </c>
      <c r="G10" s="8" t="n">
        <v>90</v>
      </c>
      <c r="H10" s="8" t="n">
        <v>85.6</v>
      </c>
      <c r="I10" s="9" t="n">
        <v>58862</v>
      </c>
      <c r="J10" s="10" t="n">
        <f aca="false">LN(D10)</f>
        <v>6.500688889507</v>
      </c>
      <c r="K10" s="10" t="n">
        <f aca="false">LN(E10)</f>
        <v>0.0256677467485778</v>
      </c>
      <c r="L10" s="10" t="n">
        <f aca="false">LN(F10)</f>
        <v>5.51865699052951</v>
      </c>
      <c r="M10" s="10" t="n">
        <f aca="false">LN(I10)</f>
        <v>10.9829510001433</v>
      </c>
    </row>
    <row r="11" customFormat="false" ht="15" hidden="false" customHeight="false" outlineLevel="0" collapsed="false">
      <c r="A11" s="4" t="n">
        <v>1</v>
      </c>
      <c r="B11" s="11" t="s">
        <v>15</v>
      </c>
      <c r="C11" s="4" t="n">
        <v>2017</v>
      </c>
      <c r="D11" s="6" t="n">
        <v>693.5</v>
      </c>
      <c r="E11" s="7" t="n">
        <v>1.065</v>
      </c>
      <c r="F11" s="6" t="n">
        <v>262.1</v>
      </c>
      <c r="G11" s="8" t="n">
        <v>90.8</v>
      </c>
      <c r="H11" s="8" t="n">
        <v>87.8</v>
      </c>
      <c r="I11" s="9" t="n">
        <v>61511</v>
      </c>
      <c r="J11" s="10" t="n">
        <f aca="false">LN(D11)</f>
        <v>6.54175123975489</v>
      </c>
      <c r="K11" s="10" t="n">
        <f aca="false">LN(E11)</f>
        <v>0.0629747991613884</v>
      </c>
      <c r="L11" s="10" t="n">
        <f aca="false">LN(F11)</f>
        <v>5.56872611032936</v>
      </c>
      <c r="M11" s="10" t="n">
        <f aca="false">LN(I11)</f>
        <v>11.0269712995894</v>
      </c>
    </row>
    <row r="12" customFormat="false" ht="15" hidden="false" customHeight="false" outlineLevel="0" collapsed="false">
      <c r="A12" s="4" t="n">
        <v>1</v>
      </c>
      <c r="B12" s="11" t="s">
        <v>15</v>
      </c>
      <c r="C12" s="4" t="n">
        <v>2018</v>
      </c>
      <c r="D12" s="6" t="n">
        <v>722.7</v>
      </c>
      <c r="E12" s="7" t="n">
        <v>1.105</v>
      </c>
      <c r="F12" s="6" t="n">
        <v>275.4</v>
      </c>
      <c r="G12" s="8" t="n">
        <v>91.6</v>
      </c>
      <c r="H12" s="8" t="n">
        <v>90</v>
      </c>
      <c r="I12" s="9" t="n">
        <v>64279</v>
      </c>
      <c r="J12" s="10" t="n">
        <f aca="false">LN(D12)</f>
        <v>6.58299419828894</v>
      </c>
      <c r="K12" s="10" t="n">
        <f aca="false">LN(E12)</f>
        <v>0.0998453349697161</v>
      </c>
      <c r="L12" s="10" t="n">
        <f aca="false">LN(F12)</f>
        <v>5.61822458629456</v>
      </c>
      <c r="M12" s="10" t="n">
        <f aca="false">LN(I12)</f>
        <v>11.070988262792</v>
      </c>
    </row>
    <row r="13" customFormat="false" ht="15" hidden="false" customHeight="false" outlineLevel="0" collapsed="false">
      <c r="A13" s="4" t="n">
        <v>1</v>
      </c>
      <c r="B13" s="11" t="s">
        <v>15</v>
      </c>
      <c r="C13" s="4" t="n">
        <v>2019</v>
      </c>
      <c r="D13" s="6" t="n">
        <v>753</v>
      </c>
      <c r="E13" s="7" t="n">
        <v>1.147</v>
      </c>
      <c r="F13" s="6" t="n">
        <v>289.5</v>
      </c>
      <c r="G13" s="8" t="n">
        <v>92.4</v>
      </c>
      <c r="H13" s="8" t="n">
        <v>92.2</v>
      </c>
      <c r="I13" s="9" t="n">
        <v>67172</v>
      </c>
      <c r="J13" s="10" t="n">
        <f aca="false">LN(D13)</f>
        <v>6.62406522779989</v>
      </c>
      <c r="K13" s="10" t="n">
        <f aca="false">LN(E13)</f>
        <v>0.137149838147234</v>
      </c>
      <c r="L13" s="10" t="n">
        <f aca="false">LN(F13)</f>
        <v>5.66815529701305</v>
      </c>
      <c r="M13" s="10" t="n">
        <f aca="false">LN(I13)</f>
        <v>11.1150117730149</v>
      </c>
    </row>
    <row r="14" customFormat="false" ht="15" hidden="false" customHeight="false" outlineLevel="0" collapsed="false">
      <c r="A14" s="4" t="n">
        <v>1</v>
      </c>
      <c r="B14" s="11" t="s">
        <v>15</v>
      </c>
      <c r="C14" s="4" t="n">
        <v>2020</v>
      </c>
      <c r="D14" s="6" t="n">
        <v>784.7</v>
      </c>
      <c r="E14" s="7" t="n">
        <v>1.191</v>
      </c>
      <c r="F14" s="6" t="n">
        <v>304.2</v>
      </c>
      <c r="G14" s="8" t="n">
        <v>93.2</v>
      </c>
      <c r="H14" s="8" t="n">
        <v>94.4</v>
      </c>
      <c r="I14" s="9" t="n">
        <v>70194</v>
      </c>
      <c r="J14" s="10" t="n">
        <f aca="false">LN(D14)</f>
        <v>6.66530147913343</v>
      </c>
      <c r="K14" s="10" t="n">
        <f aca="false">LN(E14)</f>
        <v>0.174793290373163</v>
      </c>
      <c r="L14" s="10" t="n">
        <f aca="false">LN(F14)</f>
        <v>5.71768537982519</v>
      </c>
      <c r="M14" s="10" t="n">
        <f aca="false">LN(I14)</f>
        <v>11.1590181162757</v>
      </c>
    </row>
    <row r="15" customFormat="false" ht="15" hidden="false" customHeight="false" outlineLevel="0" collapsed="false">
      <c r="A15" s="4" t="n">
        <v>1</v>
      </c>
      <c r="B15" s="11" t="s">
        <v>15</v>
      </c>
      <c r="C15" s="4" t="n">
        <v>2021</v>
      </c>
      <c r="D15" s="6" t="n">
        <v>817.6</v>
      </c>
      <c r="E15" s="7" t="n">
        <v>1.236</v>
      </c>
      <c r="F15" s="6" t="n">
        <v>319.7</v>
      </c>
      <c r="G15" s="8" t="n">
        <v>94</v>
      </c>
      <c r="H15" s="8" t="n">
        <v>96.6</v>
      </c>
      <c r="I15" s="9" t="n">
        <v>73353</v>
      </c>
      <c r="J15" s="10" t="n">
        <f aca="false">LN(D15)</f>
        <v>6.70637321944944</v>
      </c>
      <c r="K15" s="10" t="n">
        <f aca="false">LN(E15)</f>
        <v>0.211880359035499</v>
      </c>
      <c r="L15" s="10" t="n">
        <f aca="false">LN(F15)</f>
        <v>5.7673830560658</v>
      </c>
      <c r="M15" s="10" t="n">
        <f aca="false">LN(I15)</f>
        <v>11.2030386825303</v>
      </c>
    </row>
    <row r="16" customFormat="false" ht="15" hidden="false" customHeight="false" outlineLevel="0" collapsed="false">
      <c r="A16" s="4" t="n">
        <v>1</v>
      </c>
      <c r="B16" s="11" t="s">
        <v>15</v>
      </c>
      <c r="C16" s="4" t="n">
        <v>2022</v>
      </c>
      <c r="D16" s="6" t="n">
        <v>852</v>
      </c>
      <c r="E16" s="7" t="n">
        <v>1.283</v>
      </c>
      <c r="F16" s="6" t="n">
        <v>336.1</v>
      </c>
      <c r="G16" s="8" t="n">
        <v>94.8</v>
      </c>
      <c r="H16" s="8" t="n">
        <v>98.8</v>
      </c>
      <c r="I16" s="9" t="n">
        <v>76654</v>
      </c>
      <c r="J16" s="10" t="n">
        <f aca="false">LN(D16)</f>
        <v>6.74758652682932</v>
      </c>
      <c r="K16" s="10" t="n">
        <f aca="false">LN(E16)</f>
        <v>0.249201085633499</v>
      </c>
      <c r="L16" s="10" t="n">
        <f aca="false">LN(F16)</f>
        <v>5.81740873473106</v>
      </c>
      <c r="M16" s="10" t="n">
        <f aca="false">LN(I16)</f>
        <v>11.247057068196</v>
      </c>
    </row>
    <row r="17" customFormat="false" ht="15" hidden="false" customHeight="false" outlineLevel="0" collapsed="false">
      <c r="A17" s="12" t="n">
        <v>2</v>
      </c>
      <c r="B17" s="13" t="s">
        <v>16</v>
      </c>
      <c r="C17" s="12" t="n">
        <v>2010</v>
      </c>
      <c r="D17" s="14" t="n">
        <v>310</v>
      </c>
      <c r="E17" s="15" t="n">
        <v>0.45</v>
      </c>
      <c r="F17" s="14" t="n">
        <v>120</v>
      </c>
      <c r="G17" s="16" t="n">
        <v>78.6</v>
      </c>
      <c r="H17" s="16" t="n">
        <v>58.3</v>
      </c>
      <c r="I17" s="17" t="n">
        <v>28400</v>
      </c>
      <c r="J17" s="10" t="n">
        <f aca="false">LN(D17)</f>
        <v>5.73657229747919</v>
      </c>
      <c r="K17" s="10" t="n">
        <f aca="false">LN(E17)</f>
        <v>-0.798507696217772</v>
      </c>
      <c r="L17" s="10" t="n">
        <f aca="false">LN(F17)</f>
        <v>4.78749174278205</v>
      </c>
      <c r="M17" s="10" t="n">
        <f aca="false">LN(I17)</f>
        <v>10.2541444241493</v>
      </c>
    </row>
    <row r="18" customFormat="false" ht="15" hidden="false" customHeight="false" outlineLevel="0" collapsed="false">
      <c r="A18" s="12" t="n">
        <v>2</v>
      </c>
      <c r="B18" s="18" t="s">
        <v>16</v>
      </c>
      <c r="C18" s="12" t="n">
        <v>2011</v>
      </c>
      <c r="D18" s="14" t="n">
        <v>321.8</v>
      </c>
      <c r="E18" s="15" t="n">
        <v>0.468</v>
      </c>
      <c r="F18" s="14" t="n">
        <v>127</v>
      </c>
      <c r="G18" s="16" t="n">
        <v>79.5</v>
      </c>
      <c r="H18" s="16" t="n">
        <v>60.8</v>
      </c>
      <c r="I18" s="17" t="n">
        <v>29763</v>
      </c>
      <c r="J18" s="10" t="n">
        <f aca="false">LN(D18)</f>
        <v>5.77393023455828</v>
      </c>
      <c r="K18" s="10" t="n">
        <f aca="false">LN(E18)</f>
        <v>-0.75928698306449</v>
      </c>
      <c r="L18" s="10" t="n">
        <f aca="false">LN(F18)</f>
        <v>4.84418708645859</v>
      </c>
      <c r="M18" s="10" t="n">
        <f aca="false">LN(I18)</f>
        <v>10.301021290318</v>
      </c>
    </row>
    <row r="19" customFormat="false" ht="15" hidden="false" customHeight="false" outlineLevel="0" collapsed="false">
      <c r="A19" s="12" t="n">
        <v>2</v>
      </c>
      <c r="B19" s="18" t="s">
        <v>16</v>
      </c>
      <c r="C19" s="12" t="n">
        <v>2012</v>
      </c>
      <c r="D19" s="14" t="n">
        <v>334</v>
      </c>
      <c r="E19" s="15" t="n">
        <v>0.488</v>
      </c>
      <c r="F19" s="14" t="n">
        <v>134.3</v>
      </c>
      <c r="G19" s="16" t="n">
        <v>80.4</v>
      </c>
      <c r="H19" s="16" t="n">
        <v>63.3</v>
      </c>
      <c r="I19" s="17" t="n">
        <v>31192</v>
      </c>
      <c r="J19" s="10" t="n">
        <f aca="false">LN(D19)</f>
        <v>5.8111409929767</v>
      </c>
      <c r="K19" s="10" t="n">
        <f aca="false">LN(E19)</f>
        <v>-0.71743987312899</v>
      </c>
      <c r="L19" s="10" t="n">
        <f aca="false">LN(F19)</f>
        <v>4.90007610352919</v>
      </c>
      <c r="M19" s="10" t="n">
        <f aca="false">LN(I19)</f>
        <v>10.3479169306624</v>
      </c>
    </row>
    <row r="20" customFormat="false" ht="15" hidden="false" customHeight="false" outlineLevel="0" collapsed="false">
      <c r="A20" s="12" t="n">
        <v>2</v>
      </c>
      <c r="B20" s="18" t="s">
        <v>16</v>
      </c>
      <c r="C20" s="12" t="n">
        <v>2013</v>
      </c>
      <c r="D20" s="14" t="n">
        <v>346.7</v>
      </c>
      <c r="E20" s="15" t="n">
        <v>0.508</v>
      </c>
      <c r="F20" s="14" t="n">
        <v>142.1</v>
      </c>
      <c r="G20" s="16" t="n">
        <v>81.3</v>
      </c>
      <c r="H20" s="16" t="n">
        <v>65.8</v>
      </c>
      <c r="I20" s="17" t="n">
        <v>32689</v>
      </c>
      <c r="J20" s="10" t="n">
        <f aca="false">LN(D20)</f>
        <v>5.84845985269098</v>
      </c>
      <c r="K20" s="10" t="n">
        <f aca="false">LN(E20)</f>
        <v>-0.677273831403655</v>
      </c>
      <c r="L20" s="10" t="n">
        <f aca="false">LN(F20)</f>
        <v>4.95653103510306</v>
      </c>
      <c r="M20" s="10" t="n">
        <f aca="false">LN(I20)</f>
        <v>10.3947939088557</v>
      </c>
    </row>
    <row r="21" customFormat="false" ht="15" hidden="false" customHeight="false" outlineLevel="0" collapsed="false">
      <c r="A21" s="12" t="n">
        <v>2</v>
      </c>
      <c r="B21" s="18" t="s">
        <v>16</v>
      </c>
      <c r="C21" s="12" t="n">
        <v>2014</v>
      </c>
      <c r="D21" s="14" t="n">
        <v>359.9</v>
      </c>
      <c r="E21" s="15" t="n">
        <v>0.528</v>
      </c>
      <c r="F21" s="14" t="n">
        <v>150.4</v>
      </c>
      <c r="G21" s="16" t="n">
        <v>82.2</v>
      </c>
      <c r="H21" s="16" t="n">
        <v>68.3</v>
      </c>
      <c r="I21" s="17" t="n">
        <v>34258</v>
      </c>
      <c r="J21" s="10" t="n">
        <f aca="false">LN(D21)</f>
        <v>5.88582621508499</v>
      </c>
      <c r="K21" s="10" t="n">
        <f aca="false">LN(E21)</f>
        <v>-0.638658995275876</v>
      </c>
      <c r="L21" s="10" t="n">
        <f aca="false">LN(F21)</f>
        <v>5.01329841151574</v>
      </c>
      <c r="M21" s="10" t="n">
        <f aca="false">LN(I21)</f>
        <v>10.4416753930579</v>
      </c>
    </row>
    <row r="22" customFormat="false" ht="15" hidden="false" customHeight="false" outlineLevel="0" collapsed="false">
      <c r="A22" s="12" t="n">
        <v>2</v>
      </c>
      <c r="B22" s="18" t="s">
        <v>16</v>
      </c>
      <c r="C22" s="12" t="n">
        <v>2015</v>
      </c>
      <c r="D22" s="14" t="n">
        <v>373.5</v>
      </c>
      <c r="E22" s="15" t="n">
        <v>0.55</v>
      </c>
      <c r="F22" s="14" t="n">
        <v>159.1</v>
      </c>
      <c r="G22" s="16" t="n">
        <v>83.1</v>
      </c>
      <c r="H22" s="16" t="n">
        <v>70.8</v>
      </c>
      <c r="I22" s="17" t="n">
        <v>35903</v>
      </c>
      <c r="J22" s="10" t="n">
        <f aca="false">LN(D22)</f>
        <v>5.92291800457287</v>
      </c>
      <c r="K22" s="10" t="n">
        <f aca="false">LN(E22)</f>
        <v>-0.59783700075562</v>
      </c>
      <c r="L22" s="10" t="n">
        <f aca="false">LN(F22)</f>
        <v>5.06953293534374</v>
      </c>
      <c r="M22" s="10" t="n">
        <f aca="false">LN(I22)</f>
        <v>10.4885761364446</v>
      </c>
    </row>
    <row r="23" customFormat="false" ht="15" hidden="false" customHeight="false" outlineLevel="0" collapsed="false">
      <c r="A23" s="12" t="n">
        <v>2</v>
      </c>
      <c r="B23" s="18" t="s">
        <v>16</v>
      </c>
      <c r="C23" s="12" t="n">
        <v>2016</v>
      </c>
      <c r="D23" s="14" t="n">
        <v>387.7</v>
      </c>
      <c r="E23" s="15" t="n">
        <v>0.573</v>
      </c>
      <c r="F23" s="14" t="n">
        <v>168.3</v>
      </c>
      <c r="G23" s="16" t="n">
        <v>84</v>
      </c>
      <c r="H23" s="16" t="n">
        <v>73.3</v>
      </c>
      <c r="I23" s="17" t="n">
        <v>37626</v>
      </c>
      <c r="J23" s="10" t="n">
        <f aca="false">LN(D23)</f>
        <v>5.96023184467688</v>
      </c>
      <c r="K23" s="10" t="n">
        <f aca="false">LN(E23)</f>
        <v>-0.556869562267398</v>
      </c>
      <c r="L23" s="10" t="n">
        <f aca="false">LN(F23)</f>
        <v>5.12574810119676</v>
      </c>
      <c r="M23" s="10" t="n">
        <f aca="false">LN(I23)</f>
        <v>10.5354505797711</v>
      </c>
    </row>
    <row r="24" customFormat="false" ht="15" hidden="false" customHeight="false" outlineLevel="0" collapsed="false">
      <c r="A24" s="12" t="n">
        <v>2</v>
      </c>
      <c r="B24" s="18" t="s">
        <v>16</v>
      </c>
      <c r="C24" s="12" t="n">
        <v>2017</v>
      </c>
      <c r="D24" s="14" t="n">
        <v>402.5</v>
      </c>
      <c r="E24" s="15" t="n">
        <v>0.596</v>
      </c>
      <c r="F24" s="14" t="n">
        <v>178.1</v>
      </c>
      <c r="G24" s="16" t="n">
        <v>84.9</v>
      </c>
      <c r="H24" s="16" t="n">
        <v>75.8</v>
      </c>
      <c r="I24" s="17" t="n">
        <v>39432</v>
      </c>
      <c r="J24" s="10" t="n">
        <f aca="false">LN(D24)</f>
        <v>5.99769509685862</v>
      </c>
      <c r="K24" s="10" t="n">
        <f aca="false">LN(E24)</f>
        <v>-0.517514611916787</v>
      </c>
      <c r="L24" s="10" t="n">
        <f aca="false">LN(F24)</f>
        <v>5.18234519029562</v>
      </c>
      <c r="M24" s="10" t="n">
        <f aca="false">LN(I24)</f>
        <v>10.5823329483852</v>
      </c>
    </row>
    <row r="25" customFormat="false" ht="15" hidden="false" customHeight="false" outlineLevel="0" collapsed="false">
      <c r="A25" s="12" t="n">
        <v>2</v>
      </c>
      <c r="B25" s="18" t="s">
        <v>16</v>
      </c>
      <c r="C25" s="12" t="n">
        <v>2018</v>
      </c>
      <c r="D25" s="14" t="n">
        <v>417.8</v>
      </c>
      <c r="E25" s="15" t="n">
        <v>0.621</v>
      </c>
      <c r="F25" s="14" t="n">
        <v>188.4</v>
      </c>
      <c r="G25" s="16" t="n">
        <v>85.8</v>
      </c>
      <c r="H25" s="16" t="n">
        <v>78.3</v>
      </c>
      <c r="I25" s="17" t="n">
        <v>41325</v>
      </c>
      <c r="J25" s="10" t="n">
        <f aca="false">LN(D25)</f>
        <v>6.03500284912247</v>
      </c>
      <c r="K25" s="10" t="n">
        <f aca="false">LN(E25)</f>
        <v>-0.476424197048658</v>
      </c>
      <c r="L25" s="10" t="n">
        <f aca="false">LN(F25)</f>
        <v>5.23856736214226</v>
      </c>
      <c r="M25" s="10" t="n">
        <f aca="false">LN(I25)</f>
        <v>10.6292229226892</v>
      </c>
    </row>
    <row r="26" customFormat="false" ht="15" hidden="false" customHeight="false" outlineLevel="0" collapsed="false">
      <c r="A26" s="12" t="n">
        <v>2</v>
      </c>
      <c r="B26" s="18" t="s">
        <v>16</v>
      </c>
      <c r="C26" s="12" t="n">
        <v>2019</v>
      </c>
      <c r="D26" s="14" t="n">
        <v>433.6</v>
      </c>
      <c r="E26" s="15" t="n">
        <v>0.646</v>
      </c>
      <c r="F26" s="14" t="n">
        <v>199.3</v>
      </c>
      <c r="G26" s="16" t="n">
        <v>86.7</v>
      </c>
      <c r="H26" s="16" t="n">
        <v>80.8</v>
      </c>
      <c r="I26" s="17" t="n">
        <v>43308</v>
      </c>
      <c r="J26" s="10" t="n">
        <f aca="false">LN(D26)</f>
        <v>6.07212245012544</v>
      </c>
      <c r="K26" s="10" t="n">
        <f aca="false">LN(E26)</f>
        <v>-0.436955775199535</v>
      </c>
      <c r="L26" s="10" t="n">
        <f aca="false">LN(F26)</f>
        <v>5.29481122721875</v>
      </c>
      <c r="M26" s="10" t="n">
        <f aca="false">LN(I26)</f>
        <v>10.6760926544308</v>
      </c>
    </row>
    <row r="27" customFormat="false" ht="15" hidden="false" customHeight="false" outlineLevel="0" collapsed="false">
      <c r="A27" s="12" t="n">
        <v>2</v>
      </c>
      <c r="B27" s="18" t="s">
        <v>16</v>
      </c>
      <c r="C27" s="12" t="n">
        <v>2020</v>
      </c>
      <c r="D27" s="14" t="n">
        <v>450.1</v>
      </c>
      <c r="E27" s="15" t="n">
        <v>0.673</v>
      </c>
      <c r="F27" s="14" t="n">
        <v>210.9</v>
      </c>
      <c r="G27" s="16" t="n">
        <v>87.6</v>
      </c>
      <c r="H27" s="16" t="n">
        <v>83.3</v>
      </c>
      <c r="I27" s="17" t="n">
        <v>45387</v>
      </c>
      <c r="J27" s="10" t="n">
        <f aca="false">LN(D27)</f>
        <v>6.10946978029889</v>
      </c>
      <c r="K27" s="10" t="n">
        <f aca="false">LN(E27)</f>
        <v>-0.396009949337409</v>
      </c>
      <c r="L27" s="10" t="n">
        <f aca="false">LN(F27)</f>
        <v>5.35138408748473</v>
      </c>
      <c r="M27" s="10" t="n">
        <f aca="false">LN(I27)</f>
        <v>10.7229809994129</v>
      </c>
    </row>
    <row r="28" customFormat="false" ht="15" hidden="false" customHeight="false" outlineLevel="0" collapsed="false">
      <c r="A28" s="12" t="n">
        <v>2</v>
      </c>
      <c r="B28" s="18" t="s">
        <v>16</v>
      </c>
      <c r="C28" s="12" t="n">
        <v>2021</v>
      </c>
      <c r="D28" s="14" t="n">
        <v>467.2</v>
      </c>
      <c r="E28" s="15" t="n">
        <v>0.7</v>
      </c>
      <c r="F28" s="14" t="n">
        <v>223.1</v>
      </c>
      <c r="G28" s="16" t="n">
        <v>88.5</v>
      </c>
      <c r="H28" s="16" t="n">
        <v>85.8</v>
      </c>
      <c r="I28" s="17" t="n">
        <v>47566</v>
      </c>
      <c r="J28" s="10" t="n">
        <f aca="false">LN(D28)</f>
        <v>6.14675743151402</v>
      </c>
      <c r="K28" s="10" t="n">
        <f aca="false">LN(E28)</f>
        <v>-0.356674943938732</v>
      </c>
      <c r="L28" s="10" t="n">
        <f aca="false">LN(F28)</f>
        <v>5.40762010143849</v>
      </c>
      <c r="M28" s="10" t="n">
        <f aca="false">LN(I28)</f>
        <v>10.7698734992816</v>
      </c>
    </row>
    <row r="29" customFormat="false" ht="15" hidden="false" customHeight="false" outlineLevel="0" collapsed="false">
      <c r="A29" s="12" t="n">
        <v>2</v>
      </c>
      <c r="B29" s="18" t="s">
        <v>16</v>
      </c>
      <c r="C29" s="12" t="n">
        <v>2022</v>
      </c>
      <c r="D29" s="14" t="n">
        <v>485</v>
      </c>
      <c r="E29" s="15" t="n">
        <v>0.729</v>
      </c>
      <c r="F29" s="14" t="n">
        <v>236.1</v>
      </c>
      <c r="G29" s="16" t="n">
        <v>89.4</v>
      </c>
      <c r="H29" s="16" t="n">
        <v>88.3</v>
      </c>
      <c r="I29" s="17" t="n">
        <v>49849</v>
      </c>
      <c r="J29" s="10" t="n">
        <f aca="false">LN(D29)</f>
        <v>6.18414889093748</v>
      </c>
      <c r="K29" s="10" t="n">
        <f aca="false">LN(E29)</f>
        <v>-0.316081546973479</v>
      </c>
      <c r="L29" s="10" t="n">
        <f aca="false">LN(F29)</f>
        <v>5.46425544409147</v>
      </c>
      <c r="M29" s="10" t="n">
        <f aca="false">LN(I29)</f>
        <v>10.8167537150082</v>
      </c>
    </row>
    <row r="30" customFormat="false" ht="15" hidden="false" customHeight="false" outlineLevel="0" collapsed="false">
      <c r="A30" s="4" t="n">
        <v>3</v>
      </c>
      <c r="B30" s="5" t="s">
        <v>17</v>
      </c>
      <c r="C30" s="4" t="n">
        <v>2010</v>
      </c>
      <c r="D30" s="6" t="n">
        <v>280</v>
      </c>
      <c r="E30" s="7" t="n">
        <v>0.38</v>
      </c>
      <c r="F30" s="6" t="n">
        <v>98</v>
      </c>
      <c r="G30" s="8" t="n">
        <v>75.1</v>
      </c>
      <c r="H30" s="8" t="n">
        <v>52.1</v>
      </c>
      <c r="I30" s="9" t="n">
        <v>18700</v>
      </c>
      <c r="J30" s="10" t="n">
        <f aca="false">LN(D30)</f>
        <v>5.63478960316925</v>
      </c>
      <c r="K30" s="10" t="n">
        <f aca="false">LN(E30)</f>
        <v>-0.967584026261706</v>
      </c>
      <c r="L30" s="10" t="n">
        <f aca="false">LN(F30)</f>
        <v>4.58496747867057</v>
      </c>
      <c r="M30" s="10" t="n">
        <f aca="false">LN(I30)</f>
        <v>9.83627880284268</v>
      </c>
    </row>
    <row r="31" customFormat="false" ht="15" hidden="false" customHeight="false" outlineLevel="0" collapsed="false">
      <c r="A31" s="4" t="n">
        <v>3</v>
      </c>
      <c r="B31" s="11" t="s">
        <v>17</v>
      </c>
      <c r="C31" s="4" t="n">
        <v>2011</v>
      </c>
      <c r="D31" s="6" t="n">
        <v>289.5</v>
      </c>
      <c r="E31" s="7" t="n">
        <v>0.397</v>
      </c>
      <c r="F31" s="6" t="n">
        <v>104.1</v>
      </c>
      <c r="G31" s="8" t="n">
        <v>76.1</v>
      </c>
      <c r="H31" s="8" t="n">
        <v>54.9</v>
      </c>
      <c r="I31" s="9" t="n">
        <v>19485</v>
      </c>
      <c r="J31" s="10" t="n">
        <f aca="false">LN(D31)</f>
        <v>5.66815529701305</v>
      </c>
      <c r="K31" s="10" t="n">
        <f aca="false">LN(E31)</f>
        <v>-0.923818998294947</v>
      </c>
      <c r="L31" s="10" t="n">
        <f aca="false">LN(F31)</f>
        <v>4.64535197562092</v>
      </c>
      <c r="M31" s="10" t="n">
        <f aca="false">LN(I31)</f>
        <v>9.87740021777281</v>
      </c>
    </row>
    <row r="32" customFormat="false" ht="15" hidden="false" customHeight="false" outlineLevel="0" collapsed="false">
      <c r="A32" s="4" t="n">
        <v>3</v>
      </c>
      <c r="B32" s="11" t="s">
        <v>17</v>
      </c>
      <c r="C32" s="4" t="n">
        <v>2012</v>
      </c>
      <c r="D32" s="6" t="n">
        <v>299.4</v>
      </c>
      <c r="E32" s="7" t="n">
        <v>0.414</v>
      </c>
      <c r="F32" s="6" t="n">
        <v>110.5</v>
      </c>
      <c r="G32" s="8" t="n">
        <v>77.1</v>
      </c>
      <c r="H32" s="8" t="n">
        <v>57.7</v>
      </c>
      <c r="I32" s="9" t="n">
        <v>20304</v>
      </c>
      <c r="J32" s="10" t="n">
        <f aca="false">LN(D32)</f>
        <v>5.70178047198553</v>
      </c>
      <c r="K32" s="10" t="n">
        <f aca="false">LN(E32)</f>
        <v>-0.881889305156823</v>
      </c>
      <c r="L32" s="10" t="n">
        <f aca="false">LN(F32)</f>
        <v>4.70501552095781</v>
      </c>
      <c r="M32" s="10" t="n">
        <f aca="false">LN(I32)</f>
        <v>9.91857318995417</v>
      </c>
    </row>
    <row r="33" customFormat="false" ht="15" hidden="false" customHeight="false" outlineLevel="0" collapsed="false">
      <c r="A33" s="4" t="n">
        <v>3</v>
      </c>
      <c r="B33" s="11" t="s">
        <v>17</v>
      </c>
      <c r="C33" s="4" t="n">
        <v>2013</v>
      </c>
      <c r="D33" s="6" t="n">
        <v>309.5</v>
      </c>
      <c r="E33" s="7" t="n">
        <v>0.432</v>
      </c>
      <c r="F33" s="6" t="n">
        <v>117.4</v>
      </c>
      <c r="G33" s="8" t="n">
        <v>78.1</v>
      </c>
      <c r="H33" s="8" t="n">
        <v>60.5</v>
      </c>
      <c r="I33" s="9" t="n">
        <v>21157</v>
      </c>
      <c r="J33" s="10" t="n">
        <f aca="false">LN(D33)</f>
        <v>5.73495809212465</v>
      </c>
      <c r="K33" s="10" t="n">
        <f aca="false">LN(E33)</f>
        <v>-0.839329690738027</v>
      </c>
      <c r="L33" s="10" t="n">
        <f aca="false">LN(F33)</f>
        <v>4.765586907394</v>
      </c>
      <c r="M33" s="10" t="n">
        <f aca="false">LN(I33)</f>
        <v>9.95972609898332</v>
      </c>
    </row>
    <row r="34" customFormat="false" ht="15" hidden="false" customHeight="false" outlineLevel="0" collapsed="false">
      <c r="A34" s="4" t="n">
        <v>3</v>
      </c>
      <c r="B34" s="11" t="s">
        <v>17</v>
      </c>
      <c r="C34" s="4" t="n">
        <v>2014</v>
      </c>
      <c r="D34" s="6" t="n">
        <v>320.1</v>
      </c>
      <c r="E34" s="7" t="n">
        <v>0.451</v>
      </c>
      <c r="F34" s="6" t="n">
        <v>124.7</v>
      </c>
      <c r="G34" s="8" t="n">
        <v>79.1</v>
      </c>
      <c r="H34" s="8" t="n">
        <v>63.3</v>
      </c>
      <c r="I34" s="9" t="n">
        <v>22045</v>
      </c>
      <c r="J34" s="10" t="n">
        <f aca="false">LN(D34)</f>
        <v>5.76863344697582</v>
      </c>
      <c r="K34" s="10" t="n">
        <f aca="false">LN(E34)</f>
        <v>-0.796287939479459</v>
      </c>
      <c r="L34" s="10" t="n">
        <f aca="false">LN(F34)</f>
        <v>4.82591085268599</v>
      </c>
      <c r="M34" s="10" t="n">
        <f aca="false">LN(I34)</f>
        <v>10.000841097792</v>
      </c>
    </row>
    <row r="35" customFormat="false" ht="15" hidden="false" customHeight="false" outlineLevel="0" collapsed="false">
      <c r="A35" s="4" t="n">
        <v>3</v>
      </c>
      <c r="B35" s="11" t="s">
        <v>17</v>
      </c>
      <c r="C35" s="4" t="n">
        <v>2015</v>
      </c>
      <c r="D35" s="6" t="n">
        <v>330.9</v>
      </c>
      <c r="E35" s="7" t="n">
        <v>0.471</v>
      </c>
      <c r="F35" s="6" t="n">
        <v>132.4</v>
      </c>
      <c r="G35" s="8" t="n">
        <v>80.1</v>
      </c>
      <c r="H35" s="8" t="n">
        <v>66.1</v>
      </c>
      <c r="I35" s="9" t="n">
        <v>22971</v>
      </c>
      <c r="J35" s="10" t="n">
        <f aca="false">LN(D35)</f>
        <v>5.80181621492757</v>
      </c>
      <c r="K35" s="10" t="n">
        <f aca="false">LN(E35)</f>
        <v>-0.752897184965719</v>
      </c>
      <c r="L35" s="10" t="n">
        <f aca="false">LN(F35)</f>
        <v>4.88582764350291</v>
      </c>
      <c r="M35" s="10" t="n">
        <f aca="false">LN(I35)</f>
        <v>10.0419878297812</v>
      </c>
    </row>
    <row r="36" customFormat="false" ht="15" hidden="false" customHeight="false" outlineLevel="0" collapsed="false">
      <c r="A36" s="4" t="n">
        <v>3</v>
      </c>
      <c r="B36" s="11" t="s">
        <v>17</v>
      </c>
      <c r="C36" s="4" t="n">
        <v>2016</v>
      </c>
      <c r="D36" s="6" t="n">
        <v>342.2</v>
      </c>
      <c r="E36" s="7" t="n">
        <v>0.492</v>
      </c>
      <c r="F36" s="6" t="n">
        <v>140.6</v>
      </c>
      <c r="G36" s="8" t="n">
        <v>81.1</v>
      </c>
      <c r="H36" s="8" t="n">
        <v>68.9</v>
      </c>
      <c r="I36" s="9" t="n">
        <v>23936</v>
      </c>
      <c r="J36" s="10" t="n">
        <f aca="false">LN(D36)</f>
        <v>5.83539536145809</v>
      </c>
      <c r="K36" s="10" t="n">
        <f aca="false">LN(E36)</f>
        <v>-0.709276562489829</v>
      </c>
      <c r="L36" s="10" t="n">
        <f aca="false">LN(F36)</f>
        <v>4.94591897937656</v>
      </c>
      <c r="M36" s="10" t="n">
        <f aca="false">LN(I36)</f>
        <v>10.0831388807742</v>
      </c>
    </row>
    <row r="37" customFormat="false" ht="15" hidden="false" customHeight="false" outlineLevel="0" collapsed="false">
      <c r="A37" s="4" t="n">
        <v>3</v>
      </c>
      <c r="B37" s="11" t="s">
        <v>17</v>
      </c>
      <c r="C37" s="4" t="n">
        <v>2017</v>
      </c>
      <c r="D37" s="6" t="n">
        <v>353.8</v>
      </c>
      <c r="E37" s="7" t="n">
        <v>0.514</v>
      </c>
      <c r="F37" s="6" t="n">
        <v>149.3</v>
      </c>
      <c r="G37" s="8" t="n">
        <v>82.1</v>
      </c>
      <c r="H37" s="8" t="n">
        <v>71.7</v>
      </c>
      <c r="I37" s="9" t="n">
        <v>24941</v>
      </c>
      <c r="J37" s="10" t="n">
        <f aca="false">LN(D37)</f>
        <v>5.86873178172568</v>
      </c>
      <c r="K37" s="10" t="n">
        <f aca="false">LN(E37)</f>
        <v>-0.665532013526972</v>
      </c>
      <c r="L37" s="10" t="n">
        <f aca="false">LN(F37)</f>
        <v>5.00595770454514</v>
      </c>
      <c r="M37" s="10" t="n">
        <f aca="false">LN(I37)</f>
        <v>10.1242683146612</v>
      </c>
    </row>
    <row r="38" customFormat="false" ht="15" hidden="false" customHeight="false" outlineLevel="0" collapsed="false">
      <c r="A38" s="4" t="n">
        <v>3</v>
      </c>
      <c r="B38" s="11" t="s">
        <v>17</v>
      </c>
      <c r="C38" s="4" t="n">
        <v>2018</v>
      </c>
      <c r="D38" s="6" t="n">
        <v>365.9</v>
      </c>
      <c r="E38" s="7" t="n">
        <v>0.536</v>
      </c>
      <c r="F38" s="6" t="n">
        <v>158.6</v>
      </c>
      <c r="G38" s="8" t="n">
        <v>83.1</v>
      </c>
      <c r="H38" s="8" t="n">
        <v>74.5</v>
      </c>
      <c r="I38" s="9" t="n">
        <v>25989</v>
      </c>
      <c r="J38" s="10" t="n">
        <f aca="false">LN(D38)</f>
        <v>5.90236007202516</v>
      </c>
      <c r="K38" s="10" t="n">
        <f aca="false">LN(E38)</f>
        <v>-0.623621117911335</v>
      </c>
      <c r="L38" s="10" t="n">
        <f aca="false">LN(F38)</f>
        <v>5.06638530920075</v>
      </c>
      <c r="M38" s="10" t="n">
        <f aca="false">LN(I38)</f>
        <v>10.1654286505583</v>
      </c>
    </row>
    <row r="39" customFormat="false" ht="15" hidden="false" customHeight="false" outlineLevel="0" collapsed="false">
      <c r="A39" s="4" t="n">
        <v>3</v>
      </c>
      <c r="B39" s="11" t="s">
        <v>17</v>
      </c>
      <c r="C39" s="4" t="n">
        <v>2019</v>
      </c>
      <c r="D39" s="6" t="n">
        <v>378.3</v>
      </c>
      <c r="E39" s="7" t="n">
        <v>0.56</v>
      </c>
      <c r="F39" s="6" t="n">
        <v>168.4</v>
      </c>
      <c r="G39" s="8" t="n">
        <v>84.1</v>
      </c>
      <c r="H39" s="8" t="n">
        <v>77.3</v>
      </c>
      <c r="I39" s="9" t="n">
        <v>27080</v>
      </c>
      <c r="J39" s="10" t="n">
        <f aca="false">LN(D39)</f>
        <v>5.93568753163898</v>
      </c>
      <c r="K39" s="10" t="n">
        <f aca="false">LN(E39)</f>
        <v>-0.579818495252942</v>
      </c>
      <c r="L39" s="10" t="n">
        <f aca="false">LN(F39)</f>
        <v>5.12634210180823</v>
      </c>
      <c r="M39" s="10" t="n">
        <f aca="false">LN(I39)</f>
        <v>10.2065507270262</v>
      </c>
    </row>
    <row r="40" customFormat="false" ht="15" hidden="false" customHeight="false" outlineLevel="0" collapsed="false">
      <c r="A40" s="4" t="n">
        <v>3</v>
      </c>
      <c r="B40" s="11" t="s">
        <v>17</v>
      </c>
      <c r="C40" s="4" t="n">
        <v>2020</v>
      </c>
      <c r="D40" s="6" t="n">
        <v>391.2</v>
      </c>
      <c r="E40" s="7" t="n">
        <v>0.585</v>
      </c>
      <c r="F40" s="6" t="n">
        <v>178.8</v>
      </c>
      <c r="G40" s="8" t="n">
        <v>85.1</v>
      </c>
      <c r="H40" s="8" t="n">
        <v>80.1</v>
      </c>
      <c r="I40" s="9" t="n">
        <v>28218</v>
      </c>
      <c r="J40" s="10" t="n">
        <f aca="false">LN(D40)</f>
        <v>5.96921893816066</v>
      </c>
      <c r="K40" s="10" t="n">
        <f aca="false">LN(E40)</f>
        <v>-0.536143431750281</v>
      </c>
      <c r="L40" s="10" t="n">
        <f aca="false">LN(F40)</f>
        <v>5.18626786273941</v>
      </c>
      <c r="M40" s="10" t="n">
        <f aca="false">LN(I40)</f>
        <v>10.2477153511731</v>
      </c>
    </row>
    <row r="41" customFormat="false" ht="15" hidden="false" customHeight="false" outlineLevel="0" collapsed="false">
      <c r="A41" s="4" t="n">
        <v>3</v>
      </c>
      <c r="B41" s="11" t="s">
        <v>17</v>
      </c>
      <c r="C41" s="4" t="n">
        <v>2021</v>
      </c>
      <c r="D41" s="6" t="n">
        <v>404.5</v>
      </c>
      <c r="E41" s="7" t="n">
        <v>0.61</v>
      </c>
      <c r="F41" s="6" t="n">
        <v>189.9</v>
      </c>
      <c r="G41" s="8" t="n">
        <v>86.1</v>
      </c>
      <c r="H41" s="8" t="n">
        <v>82.9</v>
      </c>
      <c r="I41" s="9" t="n">
        <v>29403</v>
      </c>
      <c r="J41" s="10" t="n">
        <f aca="false">LN(D41)</f>
        <v>6.00265173649855</v>
      </c>
      <c r="K41" s="10" t="n">
        <f aca="false">LN(E41)</f>
        <v>-0.49429632181478</v>
      </c>
      <c r="L41" s="10" t="n">
        <f aca="false">LN(F41)</f>
        <v>5.24649761781824</v>
      </c>
      <c r="M41" s="10" t="n">
        <f aca="false">LN(I41)</f>
        <v>10.2888519889373</v>
      </c>
    </row>
    <row r="42" customFormat="false" ht="15" hidden="false" customHeight="false" outlineLevel="0" collapsed="false">
      <c r="A42" s="4" t="n">
        <v>3</v>
      </c>
      <c r="B42" s="11" t="s">
        <v>17</v>
      </c>
      <c r="C42" s="4" t="n">
        <v>2022</v>
      </c>
      <c r="D42" s="6" t="n">
        <v>418.2</v>
      </c>
      <c r="E42" s="7" t="n">
        <v>0.637</v>
      </c>
      <c r="F42" s="6" t="n">
        <v>201.7</v>
      </c>
      <c r="G42" s="8" t="n">
        <v>87.1</v>
      </c>
      <c r="H42" s="8" t="n">
        <v>85.7</v>
      </c>
      <c r="I42" s="9" t="n">
        <v>30638</v>
      </c>
      <c r="J42" s="10" t="n">
        <f aca="false">LN(D42)</f>
        <v>6.03595978699453</v>
      </c>
      <c r="K42" s="10" t="n">
        <f aca="false">LN(E42)</f>
        <v>-0.450985623409974</v>
      </c>
      <c r="L42" s="10" t="n">
        <f aca="false">LN(F42)</f>
        <v>5.30678144496017</v>
      </c>
      <c r="M42" s="10" t="n">
        <f aca="false">LN(I42)</f>
        <v>10.3299963475726</v>
      </c>
    </row>
    <row r="43" customFormat="false" ht="15" hidden="false" customHeight="false" outlineLevel="0" collapsed="false">
      <c r="A43" s="12" t="n">
        <v>4</v>
      </c>
      <c r="B43" s="13" t="s">
        <v>18</v>
      </c>
      <c r="C43" s="12" t="n">
        <v>2010</v>
      </c>
      <c r="D43" s="14" t="n">
        <v>210</v>
      </c>
      <c r="E43" s="15" t="n">
        <v>0.21</v>
      </c>
      <c r="F43" s="14" t="n">
        <v>72</v>
      </c>
      <c r="G43" s="16" t="n">
        <v>68.4</v>
      </c>
      <c r="H43" s="16" t="n">
        <v>38.2</v>
      </c>
      <c r="I43" s="17" t="n">
        <v>9800</v>
      </c>
      <c r="J43" s="10" t="n">
        <f aca="false">LN(D43)</f>
        <v>5.34710753071747</v>
      </c>
      <c r="K43" s="10" t="n">
        <f aca="false">LN(E43)</f>
        <v>-1.56064774826467</v>
      </c>
      <c r="L43" s="10" t="n">
        <f aca="false">LN(F43)</f>
        <v>4.27666611901606</v>
      </c>
      <c r="M43" s="10" t="n">
        <f aca="false">LN(I43)</f>
        <v>9.19013766465866</v>
      </c>
    </row>
    <row r="44" customFormat="false" ht="15" hidden="false" customHeight="false" outlineLevel="0" collapsed="false">
      <c r="A44" s="12" t="n">
        <v>4</v>
      </c>
      <c r="B44" s="18" t="s">
        <v>18</v>
      </c>
      <c r="C44" s="12" t="n">
        <v>2011</v>
      </c>
      <c r="D44" s="14" t="n">
        <v>215.9</v>
      </c>
      <c r="E44" s="15" t="n">
        <v>0.221</v>
      </c>
      <c r="F44" s="14" t="n">
        <v>77.1</v>
      </c>
      <c r="G44" s="16" t="n">
        <v>69.6</v>
      </c>
      <c r="H44" s="16" t="n">
        <v>41.6</v>
      </c>
      <c r="I44" s="17" t="n">
        <v>10172</v>
      </c>
      <c r="J44" s="10" t="n">
        <f aca="false">LN(D44)</f>
        <v>5.37481533752076</v>
      </c>
      <c r="K44" s="10" t="n">
        <f aca="false">LN(E44)</f>
        <v>-1.50959257746438</v>
      </c>
      <c r="L44" s="10" t="n">
        <f aca="false">LN(F44)</f>
        <v>4.34510328056928</v>
      </c>
      <c r="M44" s="10" t="n">
        <f aca="false">LN(I44)</f>
        <v>9.22739412654201</v>
      </c>
    </row>
    <row r="45" customFormat="false" ht="15" hidden="false" customHeight="false" outlineLevel="0" collapsed="false">
      <c r="A45" s="12" t="n">
        <v>4</v>
      </c>
      <c r="B45" s="18" t="s">
        <v>18</v>
      </c>
      <c r="C45" s="12" t="n">
        <v>2012</v>
      </c>
      <c r="D45" s="14" t="n">
        <v>221.9</v>
      </c>
      <c r="E45" s="15" t="n">
        <v>0.232</v>
      </c>
      <c r="F45" s="14" t="n">
        <v>82.6</v>
      </c>
      <c r="G45" s="16" t="n">
        <v>70.8</v>
      </c>
      <c r="H45" s="16" t="n">
        <v>45</v>
      </c>
      <c r="I45" s="17" t="n">
        <v>10559</v>
      </c>
      <c r="J45" s="10" t="n">
        <f aca="false">LN(D45)</f>
        <v>5.40222682993855</v>
      </c>
      <c r="K45" s="10" t="n">
        <f aca="false">LN(E45)</f>
        <v>-1.46101790731583</v>
      </c>
      <c r="L45" s="10" t="n">
        <f aca="false">LN(F45)</f>
        <v>4.41400968052693</v>
      </c>
      <c r="M45" s="10" t="n">
        <f aca="false">LN(I45)</f>
        <v>9.26473385580652</v>
      </c>
    </row>
    <row r="46" customFormat="false" ht="15" hidden="false" customHeight="false" outlineLevel="0" collapsed="false">
      <c r="A46" s="12" t="n">
        <v>4</v>
      </c>
      <c r="B46" s="18" t="s">
        <v>18</v>
      </c>
      <c r="C46" s="12" t="n">
        <v>2013</v>
      </c>
      <c r="D46" s="14" t="n">
        <v>228.1</v>
      </c>
      <c r="E46" s="15" t="n">
        <v>0.244</v>
      </c>
      <c r="F46" s="14" t="n">
        <v>88.5</v>
      </c>
      <c r="G46" s="16" t="n">
        <v>72</v>
      </c>
      <c r="H46" s="16" t="n">
        <v>48.4</v>
      </c>
      <c r="I46" s="17" t="n">
        <v>10960</v>
      </c>
      <c r="J46" s="10" t="n">
        <f aca="false">LN(D46)</f>
        <v>5.42978412929034</v>
      </c>
      <c r="K46" s="10" t="n">
        <f aca="false">LN(E46)</f>
        <v>-1.41058705368894</v>
      </c>
      <c r="L46" s="10" t="n">
        <f aca="false">LN(F46)</f>
        <v>4.48300255201388</v>
      </c>
      <c r="M46" s="10" t="n">
        <f aca="false">LN(I46)</f>
        <v>9.30200756050201</v>
      </c>
    </row>
    <row r="47" customFormat="false" ht="15" hidden="false" customHeight="false" outlineLevel="0" collapsed="false">
      <c r="A47" s="12" t="n">
        <v>4</v>
      </c>
      <c r="B47" s="18" t="s">
        <v>18</v>
      </c>
      <c r="C47" s="12" t="n">
        <v>2014</v>
      </c>
      <c r="D47" s="14" t="n">
        <v>234.5</v>
      </c>
      <c r="E47" s="15" t="n">
        <v>0.257</v>
      </c>
      <c r="F47" s="14" t="n">
        <v>94.7</v>
      </c>
      <c r="G47" s="16" t="n">
        <v>73.2</v>
      </c>
      <c r="H47" s="16" t="n">
        <v>51.8</v>
      </c>
      <c r="I47" s="17" t="n">
        <v>11377</v>
      </c>
      <c r="J47" s="10" t="n">
        <f aca="false">LN(D47)</f>
        <v>5.45745558788633</v>
      </c>
      <c r="K47" s="10" t="n">
        <f aca="false">LN(E47)</f>
        <v>-1.35867919408692</v>
      </c>
      <c r="L47" s="10" t="n">
        <f aca="false">LN(F47)</f>
        <v>4.55071400019203</v>
      </c>
      <c r="M47" s="10" t="n">
        <f aca="false">LN(I47)</f>
        <v>9.33934905253972</v>
      </c>
    </row>
    <row r="48" customFormat="false" ht="15" hidden="false" customHeight="false" outlineLevel="0" collapsed="false">
      <c r="A48" s="12" t="n">
        <v>4</v>
      </c>
      <c r="B48" s="18" t="s">
        <v>18</v>
      </c>
      <c r="C48" s="12" t="n">
        <v>2015</v>
      </c>
      <c r="D48" s="14" t="n">
        <v>241.1</v>
      </c>
      <c r="E48" s="15" t="n">
        <v>0.271</v>
      </c>
      <c r="F48" s="14" t="n">
        <v>101.5</v>
      </c>
      <c r="G48" s="16" t="n">
        <v>74.4</v>
      </c>
      <c r="H48" s="16" t="n">
        <v>55.2</v>
      </c>
      <c r="I48" s="17" t="n">
        <v>11809</v>
      </c>
      <c r="J48" s="10" t="n">
        <f aca="false">LN(D48)</f>
        <v>5.48521178518713</v>
      </c>
      <c r="K48" s="10" t="n">
        <f aca="false">LN(E48)</f>
        <v>-1.30563645810244</v>
      </c>
      <c r="L48" s="10" t="n">
        <f aca="false">LN(F48)</f>
        <v>4.62005879848184</v>
      </c>
      <c r="M48" s="10" t="n">
        <f aca="false">LN(I48)</f>
        <v>9.37661723160128</v>
      </c>
    </row>
    <row r="49" customFormat="false" ht="15" hidden="false" customHeight="false" outlineLevel="0" collapsed="false">
      <c r="A49" s="12" t="n">
        <v>4</v>
      </c>
      <c r="B49" s="18" t="s">
        <v>18</v>
      </c>
      <c r="C49" s="12" t="n">
        <v>2016</v>
      </c>
      <c r="D49" s="14" t="n">
        <v>247.8</v>
      </c>
      <c r="E49" s="15" t="n">
        <v>0.285</v>
      </c>
      <c r="F49" s="14" t="n">
        <v>108.7</v>
      </c>
      <c r="G49" s="16" t="n">
        <v>75.6</v>
      </c>
      <c r="H49" s="16" t="n">
        <v>58.6</v>
      </c>
      <c r="I49" s="17" t="n">
        <v>12258</v>
      </c>
      <c r="J49" s="10" t="n">
        <f aca="false">LN(D49)</f>
        <v>5.51262196919504</v>
      </c>
      <c r="K49" s="10" t="n">
        <f aca="false">LN(E49)</f>
        <v>-1.25526609871349</v>
      </c>
      <c r="L49" s="10" t="n">
        <f aca="false">LN(F49)</f>
        <v>4.68859179412716</v>
      </c>
      <c r="M49" s="10" t="n">
        <f aca="false">LN(I49)</f>
        <v>9.41393406404568</v>
      </c>
    </row>
    <row r="50" customFormat="false" ht="15" hidden="false" customHeight="false" outlineLevel="0" collapsed="false">
      <c r="A50" s="12" t="n">
        <v>4</v>
      </c>
      <c r="B50" s="18" t="s">
        <v>18</v>
      </c>
      <c r="C50" s="12" t="n">
        <v>2017</v>
      </c>
      <c r="D50" s="14" t="n">
        <v>254.8</v>
      </c>
      <c r="E50" s="15" t="n">
        <v>0.299</v>
      </c>
      <c r="F50" s="14" t="n">
        <v>116.4</v>
      </c>
      <c r="G50" s="16" t="n">
        <v>76.8</v>
      </c>
      <c r="H50" s="16" t="n">
        <v>62</v>
      </c>
      <c r="I50" s="17" t="n">
        <v>12724</v>
      </c>
      <c r="J50" s="10" t="n">
        <f aca="false">LN(D50)</f>
        <v>5.54047892369801</v>
      </c>
      <c r="K50" s="10" t="n">
        <f aca="false">LN(E50)</f>
        <v>-1.20731170559145</v>
      </c>
      <c r="L50" s="10" t="n">
        <f aca="false">LN(F50)</f>
        <v>4.75703253529734</v>
      </c>
      <c r="M50" s="10" t="n">
        <f aca="false">LN(I50)</f>
        <v>9.45124525286903</v>
      </c>
    </row>
    <row r="51" customFormat="false" ht="15" hidden="false" customHeight="false" outlineLevel="0" collapsed="false">
      <c r="A51" s="12" t="n">
        <v>4</v>
      </c>
      <c r="B51" s="18" t="s">
        <v>18</v>
      </c>
      <c r="C51" s="12" t="n">
        <v>2018</v>
      </c>
      <c r="D51" s="14" t="n">
        <v>261.9</v>
      </c>
      <c r="E51" s="15" t="n">
        <v>0.315</v>
      </c>
      <c r="F51" s="14" t="n">
        <v>124.6</v>
      </c>
      <c r="G51" s="16" t="n">
        <v>78</v>
      </c>
      <c r="H51" s="16" t="n">
        <v>65.4</v>
      </c>
      <c r="I51" s="17" t="n">
        <v>13207</v>
      </c>
      <c r="J51" s="10" t="n">
        <f aca="false">LN(D51)</f>
        <v>5.56796275151367</v>
      </c>
      <c r="K51" s="10" t="n">
        <f aca="false">LN(E51)</f>
        <v>-1.1551826401565</v>
      </c>
      <c r="L51" s="10" t="n">
        <f aca="false">LN(F51)</f>
        <v>4.82510860635335</v>
      </c>
      <c r="M51" s="10" t="n">
        <f aca="false">LN(I51)</f>
        <v>9.48850227104381</v>
      </c>
    </row>
    <row r="52" customFormat="false" ht="15" hidden="false" customHeight="false" outlineLevel="0" collapsed="false">
      <c r="A52" s="12" t="n">
        <v>4</v>
      </c>
      <c r="B52" s="18" t="s">
        <v>18</v>
      </c>
      <c r="C52" s="12" t="n">
        <v>2019</v>
      </c>
      <c r="D52" s="14" t="n">
        <v>269.3</v>
      </c>
      <c r="E52" s="15" t="n">
        <v>0.331</v>
      </c>
      <c r="F52" s="14" t="n">
        <v>133.5</v>
      </c>
      <c r="G52" s="16" t="n">
        <v>79.2</v>
      </c>
      <c r="H52" s="16" t="n">
        <v>68.8</v>
      </c>
      <c r="I52" s="17" t="n">
        <v>13709</v>
      </c>
      <c r="J52" s="10" t="n">
        <f aca="false">LN(D52)</f>
        <v>5.59582599981755</v>
      </c>
      <c r="K52" s="10" t="n">
        <f aca="false">LN(E52)</f>
        <v>-1.10563690360507</v>
      </c>
      <c r="L52" s="10" t="n">
        <f aca="false">LN(F52)</f>
        <v>4.8941014778403</v>
      </c>
      <c r="M52" s="10" t="n">
        <f aca="false">LN(I52)</f>
        <v>9.5258078304359</v>
      </c>
    </row>
    <row r="53" customFormat="false" ht="15" hidden="false" customHeight="false" outlineLevel="0" collapsed="false">
      <c r="A53" s="12" t="n">
        <v>4</v>
      </c>
      <c r="B53" s="18" t="s">
        <v>18</v>
      </c>
      <c r="C53" s="12" t="n">
        <v>2020</v>
      </c>
      <c r="D53" s="14" t="n">
        <v>276.8</v>
      </c>
      <c r="E53" s="15" t="n">
        <v>0.349</v>
      </c>
      <c r="F53" s="14" t="n">
        <v>143</v>
      </c>
      <c r="G53" s="16" t="n">
        <v>80.4</v>
      </c>
      <c r="H53" s="16" t="n">
        <v>72.2</v>
      </c>
      <c r="I53" s="17" t="n">
        <v>14230</v>
      </c>
      <c r="J53" s="10" t="n">
        <f aca="false">LN(D53)</f>
        <v>5.62329522374352</v>
      </c>
      <c r="K53" s="10" t="n">
        <f aca="false">LN(E53)</f>
        <v>-1.05268335677971</v>
      </c>
      <c r="L53" s="10" t="n">
        <f aca="false">LN(F53)</f>
        <v>4.96284463025991</v>
      </c>
      <c r="M53" s="10" t="n">
        <f aca="false">LN(I53)</f>
        <v>9.5631076910839</v>
      </c>
    </row>
    <row r="54" customFormat="false" ht="15" hidden="false" customHeight="false" outlineLevel="0" collapsed="false">
      <c r="A54" s="12" t="n">
        <v>4</v>
      </c>
      <c r="B54" s="18" t="s">
        <v>18</v>
      </c>
      <c r="C54" s="12" t="n">
        <v>2021</v>
      </c>
      <c r="D54" s="14" t="n">
        <v>284.5</v>
      </c>
      <c r="E54" s="15" t="n">
        <v>0.367</v>
      </c>
      <c r="F54" s="14" t="n">
        <v>153.1</v>
      </c>
      <c r="G54" s="16" t="n">
        <v>81.6</v>
      </c>
      <c r="H54" s="16" t="n">
        <v>75.6</v>
      </c>
      <c r="I54" s="17" t="n">
        <v>14771</v>
      </c>
      <c r="J54" s="10" t="n">
        <f aca="false">LN(D54)</f>
        <v>5.65073325356639</v>
      </c>
      <c r="K54" s="10" t="n">
        <f aca="false">LN(E54)</f>
        <v>-1.00239343092757</v>
      </c>
      <c r="L54" s="10" t="n">
        <f aca="false">LN(F54)</f>
        <v>5.03109130266364</v>
      </c>
      <c r="M54" s="10" t="n">
        <f aca="false">LN(I54)</f>
        <v>9.6004210780406</v>
      </c>
    </row>
    <row r="55" customFormat="false" ht="15" hidden="false" customHeight="false" outlineLevel="0" collapsed="false">
      <c r="A55" s="12" t="n">
        <v>4</v>
      </c>
      <c r="B55" s="18" t="s">
        <v>18</v>
      </c>
      <c r="C55" s="12" t="n">
        <v>2022</v>
      </c>
      <c r="D55" s="14" t="n">
        <v>292.5</v>
      </c>
      <c r="E55" s="15" t="n">
        <v>0.386</v>
      </c>
      <c r="F55" s="14" t="n">
        <v>164</v>
      </c>
      <c r="G55" s="16" t="n">
        <v>82.8</v>
      </c>
      <c r="H55" s="16" t="n">
        <v>79</v>
      </c>
      <c r="I55" s="17" t="n">
        <v>15332</v>
      </c>
      <c r="J55" s="10" t="n">
        <f aca="false">LN(D55)</f>
        <v>5.67846466667191</v>
      </c>
      <c r="K55" s="10" t="n">
        <f aca="false">LN(E55)</f>
        <v>-0.951917909517306</v>
      </c>
      <c r="L55" s="10" t="n">
        <f aca="false">LN(F55)</f>
        <v>5.0998664278242</v>
      </c>
      <c r="M55" s="10" t="n">
        <f aca="false">LN(I55)</f>
        <v>9.63769742650045</v>
      </c>
    </row>
    <row r="56" customFormat="false" ht="15" hidden="false" customHeight="false" outlineLevel="0" collapsed="false">
      <c r="A56" s="4" t="n">
        <v>5</v>
      </c>
      <c r="B56" s="5" t="s">
        <v>19</v>
      </c>
      <c r="C56" s="4" t="n">
        <v>2010</v>
      </c>
      <c r="D56" s="6" t="n">
        <v>265</v>
      </c>
      <c r="E56" s="7" t="n">
        <v>0.32</v>
      </c>
      <c r="F56" s="6" t="n">
        <v>88</v>
      </c>
      <c r="G56" s="8" t="n">
        <v>72.3</v>
      </c>
      <c r="H56" s="8" t="n">
        <v>46.7</v>
      </c>
      <c r="I56" s="9" t="n">
        <v>22300</v>
      </c>
      <c r="J56" s="10" t="n">
        <f aca="false">LN(D56)</f>
        <v>5.57972982598622</v>
      </c>
      <c r="K56" s="10" t="n">
        <f aca="false">LN(E56)</f>
        <v>-1.13943428318836</v>
      </c>
      <c r="L56" s="10" t="n">
        <f aca="false">LN(F56)</f>
        <v>4.47733681447821</v>
      </c>
      <c r="M56" s="10" t="n">
        <f aca="false">LN(I56)</f>
        <v>10.0123419574482</v>
      </c>
    </row>
    <row r="57" customFormat="false" ht="15" hidden="false" customHeight="false" outlineLevel="0" collapsed="false">
      <c r="A57" s="4" t="n">
        <v>5</v>
      </c>
      <c r="B57" s="11" t="s">
        <v>19</v>
      </c>
      <c r="C57" s="4" t="n">
        <v>2011</v>
      </c>
      <c r="D57" s="6" t="n">
        <v>273.2</v>
      </c>
      <c r="E57" s="7" t="n">
        <v>0.335</v>
      </c>
      <c r="F57" s="6" t="n">
        <v>93.7</v>
      </c>
      <c r="G57" s="8" t="n">
        <v>73.4</v>
      </c>
      <c r="H57" s="8" t="n">
        <v>49.8</v>
      </c>
      <c r="I57" s="9" t="n">
        <v>23192</v>
      </c>
      <c r="J57" s="10" t="n">
        <f aca="false">LN(D57)</f>
        <v>5.61020412769664</v>
      </c>
      <c r="K57" s="10" t="n">
        <f aca="false">LN(E57)</f>
        <v>-1.09362474715707</v>
      </c>
      <c r="L57" s="10" t="n">
        <f aca="false">LN(F57)</f>
        <v>4.54009818924438</v>
      </c>
      <c r="M57" s="10" t="n">
        <f aca="false">LN(I57)</f>
        <v>10.0515626706015</v>
      </c>
    </row>
    <row r="58" customFormat="false" ht="15" hidden="false" customHeight="false" outlineLevel="0" collapsed="false">
      <c r="A58" s="4" t="n">
        <v>5</v>
      </c>
      <c r="B58" s="11" t="s">
        <v>19</v>
      </c>
      <c r="C58" s="4" t="n">
        <v>2012</v>
      </c>
      <c r="D58" s="6" t="n">
        <v>281.7</v>
      </c>
      <c r="E58" s="7" t="n">
        <v>0.351</v>
      </c>
      <c r="F58" s="6" t="n">
        <v>99.8</v>
      </c>
      <c r="G58" s="8" t="n">
        <v>74.5</v>
      </c>
      <c r="H58" s="8" t="n">
        <v>52.9</v>
      </c>
      <c r="I58" s="9" t="n">
        <v>24120</v>
      </c>
      <c r="J58" s="10" t="n">
        <f aca="false">LN(D58)</f>
        <v>5.64084267488233</v>
      </c>
      <c r="K58" s="10" t="n">
        <f aca="false">LN(E58)</f>
        <v>-1.04696905551627</v>
      </c>
      <c r="L58" s="10" t="n">
        <f aca="false">LN(F58)</f>
        <v>4.60316818331742</v>
      </c>
      <c r="M58" s="10" t="n">
        <f aca="false">LN(I58)</f>
        <v>10.0907966508411</v>
      </c>
    </row>
    <row r="59" customFormat="false" ht="15" hidden="false" customHeight="false" outlineLevel="0" collapsed="false">
      <c r="A59" s="4" t="n">
        <v>5</v>
      </c>
      <c r="B59" s="11" t="s">
        <v>19</v>
      </c>
      <c r="C59" s="4" t="n">
        <v>2013</v>
      </c>
      <c r="D59" s="6" t="n">
        <v>290.4</v>
      </c>
      <c r="E59" s="7" t="n">
        <v>0.368</v>
      </c>
      <c r="F59" s="6" t="n">
        <v>106.3</v>
      </c>
      <c r="G59" s="8" t="n">
        <v>75.6</v>
      </c>
      <c r="H59" s="8" t="n">
        <v>56</v>
      </c>
      <c r="I59" s="9" t="n">
        <v>25084</v>
      </c>
      <c r="J59" s="10" t="n">
        <f aca="false">LN(D59)</f>
        <v>5.67125928295064</v>
      </c>
      <c r="K59" s="10" t="n">
        <f aca="false">LN(E59)</f>
        <v>-0.999672340813206</v>
      </c>
      <c r="L59" s="10" t="n">
        <f aca="false">LN(F59)</f>
        <v>4.6662652853479</v>
      </c>
      <c r="M59" s="10" t="n">
        <f aca="false">LN(I59)</f>
        <v>10.1299854716629</v>
      </c>
    </row>
    <row r="60" customFormat="false" ht="15" hidden="false" customHeight="false" outlineLevel="0" collapsed="false">
      <c r="A60" s="4" t="n">
        <v>5</v>
      </c>
      <c r="B60" s="11" t="s">
        <v>19</v>
      </c>
      <c r="C60" s="4" t="n">
        <v>2014</v>
      </c>
      <c r="D60" s="6" t="n">
        <v>299.4</v>
      </c>
      <c r="E60" s="7" t="n">
        <v>0.386</v>
      </c>
      <c r="F60" s="6" t="n">
        <v>113.2</v>
      </c>
      <c r="G60" s="8" t="n">
        <v>76.7</v>
      </c>
      <c r="H60" s="8" t="n">
        <v>59.1</v>
      </c>
      <c r="I60" s="9" t="n">
        <v>26088</v>
      </c>
      <c r="J60" s="10" t="n">
        <f aca="false">LN(D60)</f>
        <v>5.70178047198553</v>
      </c>
      <c r="K60" s="10" t="n">
        <f aca="false">LN(E60)</f>
        <v>-0.951917909517306</v>
      </c>
      <c r="L60" s="10" t="n">
        <f aca="false">LN(F60)</f>
        <v>4.72915616576908</v>
      </c>
      <c r="M60" s="10" t="n">
        <f aca="false">LN(I60)</f>
        <v>10.1692307174692</v>
      </c>
    </row>
    <row r="61" customFormat="false" ht="15" hidden="false" customHeight="false" outlineLevel="0" collapsed="false">
      <c r="A61" s="4" t="n">
        <v>5</v>
      </c>
      <c r="B61" s="11" t="s">
        <v>19</v>
      </c>
      <c r="C61" s="4" t="n">
        <v>2015</v>
      </c>
      <c r="D61" s="6" t="n">
        <v>308.7</v>
      </c>
      <c r="E61" s="7" t="n">
        <v>0.405</v>
      </c>
      <c r="F61" s="6" t="n">
        <v>120.6</v>
      </c>
      <c r="G61" s="8" t="n">
        <v>77.8</v>
      </c>
      <c r="H61" s="8" t="n">
        <v>62.2</v>
      </c>
      <c r="I61" s="9" t="n">
        <v>27131</v>
      </c>
      <c r="J61" s="10" t="n">
        <f aca="false">LN(D61)</f>
        <v>5.73236993150811</v>
      </c>
      <c r="K61" s="10" t="n">
        <f aca="false">LN(E61)</f>
        <v>-0.903868211875598</v>
      </c>
      <c r="L61" s="10" t="n">
        <f aca="false">LN(F61)</f>
        <v>4.79247928429309</v>
      </c>
      <c r="M61" s="10" t="n">
        <f aca="false">LN(I61)</f>
        <v>10.2084322645387</v>
      </c>
    </row>
    <row r="62" customFormat="false" ht="15" hidden="false" customHeight="false" outlineLevel="0" collapsed="false">
      <c r="A62" s="4" t="n">
        <v>5</v>
      </c>
      <c r="B62" s="11" t="s">
        <v>19</v>
      </c>
      <c r="C62" s="4" t="n">
        <v>2016</v>
      </c>
      <c r="D62" s="6" t="n">
        <v>318.3</v>
      </c>
      <c r="E62" s="7" t="n">
        <v>0.424</v>
      </c>
      <c r="F62" s="6" t="n">
        <v>128.4</v>
      </c>
      <c r="G62" s="8" t="n">
        <v>78.9</v>
      </c>
      <c r="H62" s="8" t="n">
        <v>65.3</v>
      </c>
      <c r="I62" s="9" t="n">
        <v>28217</v>
      </c>
      <c r="J62" s="10" t="n">
        <f aca="false">LN(D62)</f>
        <v>5.76299433428805</v>
      </c>
      <c r="K62" s="10" t="n">
        <f aca="false">LN(E62)</f>
        <v>-0.858021823750179</v>
      </c>
      <c r="L62" s="10" t="n">
        <f aca="false">LN(F62)</f>
        <v>4.85515039125586</v>
      </c>
      <c r="M62" s="10" t="n">
        <f aca="false">LN(I62)</f>
        <v>10.2476799121725</v>
      </c>
    </row>
    <row r="63" customFormat="false" ht="15" hidden="false" customHeight="false" outlineLevel="0" collapsed="false">
      <c r="A63" s="4" t="n">
        <v>5</v>
      </c>
      <c r="B63" s="11" t="s">
        <v>19</v>
      </c>
      <c r="C63" s="4" t="n">
        <v>2017</v>
      </c>
      <c r="D63" s="6" t="n">
        <v>328.1</v>
      </c>
      <c r="E63" s="7" t="n">
        <v>0.444</v>
      </c>
      <c r="F63" s="6" t="n">
        <v>136.8</v>
      </c>
      <c r="G63" s="8" t="n">
        <v>80</v>
      </c>
      <c r="H63" s="8" t="n">
        <v>68.4</v>
      </c>
      <c r="I63" s="9" t="n">
        <v>29345</v>
      </c>
      <c r="J63" s="10" t="n">
        <f aca="false">LN(D63)</f>
        <v>5.79331843996706</v>
      </c>
      <c r="K63" s="10" t="n">
        <f aca="false">LN(E63)</f>
        <v>-0.811930716549912</v>
      </c>
      <c r="L63" s="10" t="n">
        <f aca="false">LN(F63)</f>
        <v>4.91852000518845</v>
      </c>
      <c r="M63" s="10" t="n">
        <f aca="false">LN(I63)</f>
        <v>10.2868774529924</v>
      </c>
    </row>
    <row r="64" customFormat="false" ht="15" hidden="false" customHeight="false" outlineLevel="0" collapsed="false">
      <c r="A64" s="4" t="n">
        <v>5</v>
      </c>
      <c r="B64" s="11" t="s">
        <v>19</v>
      </c>
      <c r="C64" s="4" t="n">
        <v>2018</v>
      </c>
      <c r="D64" s="6" t="n">
        <v>338.3</v>
      </c>
      <c r="E64" s="7" t="n">
        <v>0.466</v>
      </c>
      <c r="F64" s="6" t="n">
        <v>145.6</v>
      </c>
      <c r="G64" s="8" t="n">
        <v>81.1</v>
      </c>
      <c r="H64" s="8" t="n">
        <v>71.5</v>
      </c>
      <c r="I64" s="9" t="n">
        <v>30519</v>
      </c>
      <c r="J64" s="10" t="n">
        <f aca="false">LN(D64)</f>
        <v>5.82393307578666</v>
      </c>
      <c r="K64" s="10" t="n">
        <f aca="false">LN(E64)</f>
        <v>-0.763569644856491</v>
      </c>
      <c r="L64" s="10" t="n">
        <f aca="false">LN(F64)</f>
        <v>4.98086313576259</v>
      </c>
      <c r="M64" s="10" t="n">
        <f aca="false">LN(I64)</f>
        <v>10.3261047194619</v>
      </c>
    </row>
    <row r="65" customFormat="false" ht="15" hidden="false" customHeight="false" outlineLevel="0" collapsed="false">
      <c r="A65" s="4" t="n">
        <v>5</v>
      </c>
      <c r="B65" s="11" t="s">
        <v>19</v>
      </c>
      <c r="C65" s="4" t="n">
        <v>2019</v>
      </c>
      <c r="D65" s="6" t="n">
        <v>348.8</v>
      </c>
      <c r="E65" s="7" t="n">
        <v>0.488</v>
      </c>
      <c r="F65" s="6" t="n">
        <v>155.1</v>
      </c>
      <c r="G65" s="8" t="n">
        <v>82.2</v>
      </c>
      <c r="H65" s="8" t="n">
        <v>74.6</v>
      </c>
      <c r="I65" s="9" t="n">
        <v>31740</v>
      </c>
      <c r="J65" s="10" t="n">
        <f aca="false">LN(D65)</f>
        <v>5.85449869203482</v>
      </c>
      <c r="K65" s="10" t="n">
        <f aca="false">LN(E65)</f>
        <v>-0.71743987312899</v>
      </c>
      <c r="L65" s="10" t="n">
        <f aca="false">LN(F65)</f>
        <v>5.04407007018249</v>
      </c>
      <c r="M65" s="10" t="n">
        <f aca="false">LN(I65)</f>
        <v>10.3653329940804</v>
      </c>
    </row>
    <row r="66" customFormat="false" ht="15" hidden="false" customHeight="false" outlineLevel="0" collapsed="false">
      <c r="A66" s="4" t="n">
        <v>5</v>
      </c>
      <c r="B66" s="11" t="s">
        <v>19</v>
      </c>
      <c r="C66" s="4" t="n">
        <v>2020</v>
      </c>
      <c r="D66" s="6" t="n">
        <v>359.6</v>
      </c>
      <c r="E66" s="7" t="n">
        <v>0.511</v>
      </c>
      <c r="F66" s="6" t="n">
        <v>165.2</v>
      </c>
      <c r="G66" s="8" t="n">
        <v>83.3</v>
      </c>
      <c r="H66" s="8" t="n">
        <v>77.7</v>
      </c>
      <c r="I66" s="9" t="n">
        <v>33009</v>
      </c>
      <c r="J66" s="10" t="n">
        <f aca="false">LN(D66)</f>
        <v>5.88499230259747</v>
      </c>
      <c r="K66" s="10" t="n">
        <f aca="false">LN(E66)</f>
        <v>-0.671385688778433</v>
      </c>
      <c r="L66" s="10" t="n">
        <f aca="false">LN(F66)</f>
        <v>5.10715686108688</v>
      </c>
      <c r="M66" s="10" t="n">
        <f aca="false">LN(I66)</f>
        <v>10.404535530538</v>
      </c>
    </row>
    <row r="67" customFormat="false" ht="15" hidden="false" customHeight="false" outlineLevel="0" collapsed="false">
      <c r="A67" s="4" t="n">
        <v>5</v>
      </c>
      <c r="B67" s="11" t="s">
        <v>19</v>
      </c>
      <c r="C67" s="4" t="n">
        <v>2021</v>
      </c>
      <c r="D67" s="6" t="n">
        <v>370.8</v>
      </c>
      <c r="E67" s="7" t="n">
        <v>0.536</v>
      </c>
      <c r="F67" s="6" t="n">
        <v>175.9</v>
      </c>
      <c r="G67" s="8" t="n">
        <v>84.4</v>
      </c>
      <c r="H67" s="8" t="n">
        <v>80.8</v>
      </c>
      <c r="I67" s="9" t="n">
        <v>34330</v>
      </c>
      <c r="J67" s="10" t="n">
        <f aca="false">LN(D67)</f>
        <v>5.9156628336917</v>
      </c>
      <c r="K67" s="10" t="n">
        <f aca="false">LN(E67)</f>
        <v>-0.623621117911335</v>
      </c>
      <c r="L67" s="10" t="n">
        <f aca="false">LN(F67)</f>
        <v>5.16991565174351</v>
      </c>
      <c r="M67" s="10" t="n">
        <f aca="false">LN(I67)</f>
        <v>10.4437748864517</v>
      </c>
    </row>
    <row r="68" customFormat="false" ht="15" hidden="false" customHeight="false" outlineLevel="0" collapsed="false">
      <c r="A68" s="4" t="n">
        <v>5</v>
      </c>
      <c r="B68" s="11" t="s">
        <v>19</v>
      </c>
      <c r="C68" s="4" t="n">
        <v>2022</v>
      </c>
      <c r="D68" s="6" t="n">
        <v>382.3</v>
      </c>
      <c r="E68" s="7" t="n">
        <v>0.562</v>
      </c>
      <c r="F68" s="6" t="n">
        <v>187.4</v>
      </c>
      <c r="G68" s="8" t="n">
        <v>85.5</v>
      </c>
      <c r="H68" s="8" t="n">
        <v>83.9</v>
      </c>
      <c r="I68" s="9" t="n">
        <v>35703</v>
      </c>
      <c r="J68" s="10" t="n">
        <f aca="false">LN(D68)</f>
        <v>5.94620564070237</v>
      </c>
      <c r="K68" s="10" t="n">
        <f aca="false">LN(E68)</f>
        <v>-0.576253429088446</v>
      </c>
      <c r="L68" s="10" t="n">
        <f aca="false">LN(F68)</f>
        <v>5.23324536980432</v>
      </c>
      <c r="M68" s="10" t="n">
        <f aca="false">LN(I68)</f>
        <v>10.4829899978505</v>
      </c>
    </row>
    <row r="69" customFormat="false" ht="15" hidden="false" customHeight="false" outlineLevel="0" collapsed="false">
      <c r="A69" s="12" t="n">
        <v>6</v>
      </c>
      <c r="B69" s="13" t="s">
        <v>20</v>
      </c>
      <c r="C69" s="12" t="n">
        <v>2010</v>
      </c>
      <c r="D69" s="14" t="n">
        <v>240</v>
      </c>
      <c r="E69" s="15" t="n">
        <v>0.29</v>
      </c>
      <c r="F69" s="14" t="n">
        <v>81</v>
      </c>
      <c r="G69" s="16" t="n">
        <v>70.8</v>
      </c>
      <c r="H69" s="16" t="n">
        <v>44.1</v>
      </c>
      <c r="I69" s="17" t="n">
        <v>14600</v>
      </c>
      <c r="J69" s="10" t="n">
        <f aca="false">LN(D69)</f>
        <v>5.48063892334199</v>
      </c>
      <c r="K69" s="10" t="n">
        <f aca="false">LN(E69)</f>
        <v>-1.23787435600162</v>
      </c>
      <c r="L69" s="10" t="n">
        <f aca="false">LN(F69)</f>
        <v>4.39444915467244</v>
      </c>
      <c r="M69" s="10" t="n">
        <f aca="false">LN(I69)</f>
        <v>9.58877680769643</v>
      </c>
    </row>
    <row r="70" customFormat="false" ht="15" hidden="false" customHeight="false" outlineLevel="0" collapsed="false">
      <c r="A70" s="12" t="n">
        <v>6</v>
      </c>
      <c r="B70" s="18" t="s">
        <v>20</v>
      </c>
      <c r="C70" s="12" t="n">
        <v>2011</v>
      </c>
      <c r="D70" s="14" t="n">
        <v>247.2</v>
      </c>
      <c r="E70" s="15" t="n">
        <v>0.304</v>
      </c>
      <c r="F70" s="14" t="n">
        <v>86.5</v>
      </c>
      <c r="G70" s="16" t="n">
        <v>71.9</v>
      </c>
      <c r="H70" s="16" t="n">
        <v>47.3</v>
      </c>
      <c r="I70" s="17" t="n">
        <v>15169</v>
      </c>
      <c r="J70" s="10" t="n">
        <f aca="false">LN(D70)</f>
        <v>5.51019772558354</v>
      </c>
      <c r="K70" s="10" t="n">
        <f aca="false">LN(E70)</f>
        <v>-1.19072757757592</v>
      </c>
      <c r="L70" s="10" t="n">
        <f aca="false">LN(F70)</f>
        <v>4.46014441393783</v>
      </c>
      <c r="M70" s="10" t="n">
        <f aca="false">LN(I70)</f>
        <v>9.62700915059167</v>
      </c>
    </row>
    <row r="71" customFormat="false" ht="15" hidden="false" customHeight="false" outlineLevel="0" collapsed="false">
      <c r="A71" s="12" t="n">
        <v>6</v>
      </c>
      <c r="B71" s="18" t="s">
        <v>20</v>
      </c>
      <c r="C71" s="12" t="n">
        <v>2012</v>
      </c>
      <c r="D71" s="14" t="n">
        <v>254.6</v>
      </c>
      <c r="E71" s="15" t="n">
        <v>0.32</v>
      </c>
      <c r="F71" s="14" t="n">
        <v>92.4</v>
      </c>
      <c r="G71" s="16" t="n">
        <v>73</v>
      </c>
      <c r="H71" s="16" t="n">
        <v>50.5</v>
      </c>
      <c r="I71" s="17" t="n">
        <v>15761</v>
      </c>
      <c r="J71" s="10" t="n">
        <f aca="false">LN(D71)</f>
        <v>5.53969368612331</v>
      </c>
      <c r="K71" s="10" t="n">
        <f aca="false">LN(E71)</f>
        <v>-1.13943428318836</v>
      </c>
      <c r="L71" s="10" t="n">
        <f aca="false">LN(F71)</f>
        <v>4.52612697864764</v>
      </c>
      <c r="M71" s="10" t="n">
        <f aca="false">LN(I71)</f>
        <v>9.66529381317554</v>
      </c>
    </row>
    <row r="72" customFormat="false" ht="15" hidden="false" customHeight="false" outlineLevel="0" collapsed="false">
      <c r="A72" s="12" t="n">
        <v>6</v>
      </c>
      <c r="B72" s="18" t="s">
        <v>20</v>
      </c>
      <c r="C72" s="12" t="n">
        <v>2013</v>
      </c>
      <c r="D72" s="14" t="n">
        <v>262.3</v>
      </c>
      <c r="E72" s="15" t="n">
        <v>0.336</v>
      </c>
      <c r="F72" s="14" t="n">
        <v>98.7</v>
      </c>
      <c r="G72" s="16" t="n">
        <v>74.1</v>
      </c>
      <c r="H72" s="16" t="n">
        <v>53.7</v>
      </c>
      <c r="I72" s="17" t="n">
        <v>16376</v>
      </c>
      <c r="J72" s="10" t="n">
        <f aca="false">LN(D72)</f>
        <v>5.56948888687283</v>
      </c>
      <c r="K72" s="10" t="n">
        <f aca="false">LN(E72)</f>
        <v>-1.09064411901893</v>
      </c>
      <c r="L72" s="10" t="n">
        <f aca="false">LN(F72)</f>
        <v>4.59208494643944</v>
      </c>
      <c r="M72" s="10" t="n">
        <f aca="false">LN(I72)</f>
        <v>9.70357212734113</v>
      </c>
    </row>
    <row r="73" customFormat="false" ht="15" hidden="false" customHeight="false" outlineLevel="0" collapsed="false">
      <c r="A73" s="12" t="n">
        <v>6</v>
      </c>
      <c r="B73" s="18" t="s">
        <v>20</v>
      </c>
      <c r="C73" s="12" t="n">
        <v>2014</v>
      </c>
      <c r="D73" s="14" t="n">
        <v>270.1</v>
      </c>
      <c r="E73" s="15" t="n">
        <v>0.352</v>
      </c>
      <c r="F73" s="14" t="n">
        <v>105.4</v>
      </c>
      <c r="G73" s="16" t="n">
        <v>75.2</v>
      </c>
      <c r="H73" s="16" t="n">
        <v>56.9</v>
      </c>
      <c r="I73" s="17" t="n">
        <v>17014</v>
      </c>
      <c r="J73" s="10" t="n">
        <f aca="false">LN(D73)</f>
        <v>5.59879226079857</v>
      </c>
      <c r="K73" s="10" t="n">
        <f aca="false">LN(E73)</f>
        <v>-1.04412410338404</v>
      </c>
      <c r="L73" s="10" t="n">
        <f aca="false">LN(F73)</f>
        <v>4.65776263610726</v>
      </c>
      <c r="M73" s="10" t="n">
        <f aca="false">LN(I73)</f>
        <v>9.74179181353583</v>
      </c>
    </row>
    <row r="74" customFormat="false" ht="15" hidden="false" customHeight="false" outlineLevel="0" collapsed="false">
      <c r="A74" s="12" t="n">
        <v>6</v>
      </c>
      <c r="B74" s="18" t="s">
        <v>20</v>
      </c>
      <c r="C74" s="12" t="n">
        <v>2015</v>
      </c>
      <c r="D74" s="14" t="n">
        <v>278.2</v>
      </c>
      <c r="E74" s="15" t="n">
        <v>0.37</v>
      </c>
      <c r="F74" s="14" t="n">
        <v>112.5</v>
      </c>
      <c r="G74" s="16" t="n">
        <v>76.3</v>
      </c>
      <c r="H74" s="16" t="n">
        <v>60.1</v>
      </c>
      <c r="I74" s="17" t="n">
        <v>17678</v>
      </c>
      <c r="J74" s="10" t="n">
        <f aca="false">LN(D74)</f>
        <v>5.62834027948934</v>
      </c>
      <c r="K74" s="10" t="n">
        <f aca="false">LN(E74)</f>
        <v>-0.994252273343867</v>
      </c>
      <c r="L74" s="10" t="n">
        <f aca="false">LN(F74)</f>
        <v>4.72295322164448</v>
      </c>
      <c r="M74" s="10" t="n">
        <f aca="false">LN(I74)</f>
        <v>9.78007620762089</v>
      </c>
    </row>
    <row r="75" customFormat="false" ht="15" hidden="false" customHeight="false" outlineLevel="0" collapsed="false">
      <c r="A75" s="12" t="n">
        <v>6</v>
      </c>
      <c r="B75" s="18" t="s">
        <v>20</v>
      </c>
      <c r="C75" s="12" t="n">
        <v>2016</v>
      </c>
      <c r="D75" s="14" t="n">
        <v>286.6</v>
      </c>
      <c r="E75" s="15" t="n">
        <v>0.389</v>
      </c>
      <c r="F75" s="14" t="n">
        <v>120.2</v>
      </c>
      <c r="G75" s="16" t="n">
        <v>77.4</v>
      </c>
      <c r="H75" s="16" t="n">
        <v>63.3</v>
      </c>
      <c r="I75" s="17" t="n">
        <v>18367</v>
      </c>
      <c r="J75" s="10" t="n">
        <f aca="false">LN(D75)</f>
        <v>5.65808751539407</v>
      </c>
      <c r="K75" s="10" t="n">
        <f aca="false">LN(E75)</f>
        <v>-0.944175935363691</v>
      </c>
      <c r="L75" s="10" t="n">
        <f aca="false">LN(F75)</f>
        <v>4.78915702210111</v>
      </c>
      <c r="M75" s="10" t="n">
        <f aca="false">LN(I75)</f>
        <v>9.81831085512854</v>
      </c>
    </row>
    <row r="76" customFormat="false" ht="15" hidden="false" customHeight="false" outlineLevel="0" collapsed="false">
      <c r="A76" s="12" t="n">
        <v>6</v>
      </c>
      <c r="B76" s="18" t="s">
        <v>20</v>
      </c>
      <c r="C76" s="12" t="n">
        <v>2017</v>
      </c>
      <c r="D76" s="14" t="n">
        <v>295.2</v>
      </c>
      <c r="E76" s="15" t="n">
        <v>0.408</v>
      </c>
      <c r="F76" s="14" t="n">
        <v>128.4</v>
      </c>
      <c r="G76" s="16" t="n">
        <v>78.5</v>
      </c>
      <c r="H76" s="16" t="n">
        <v>66.5</v>
      </c>
      <c r="I76" s="17" t="n">
        <v>19084</v>
      </c>
      <c r="J76" s="10" t="n">
        <f aca="false">LN(D76)</f>
        <v>5.68765309272632</v>
      </c>
      <c r="K76" s="10" t="n">
        <f aca="false">LN(E76)</f>
        <v>-0.896488104577976</v>
      </c>
      <c r="L76" s="10" t="n">
        <f aca="false">LN(F76)</f>
        <v>4.85515039125586</v>
      </c>
      <c r="M76" s="10" t="n">
        <f aca="false">LN(I76)</f>
        <v>9.856605566636</v>
      </c>
    </row>
    <row r="77" customFormat="false" ht="15" hidden="false" customHeight="false" outlineLevel="0" collapsed="false">
      <c r="A77" s="12" t="n">
        <v>6</v>
      </c>
      <c r="B77" s="18" t="s">
        <v>20</v>
      </c>
      <c r="C77" s="12" t="n">
        <v>2018</v>
      </c>
      <c r="D77" s="14" t="n">
        <v>304</v>
      </c>
      <c r="E77" s="15" t="n">
        <v>0.428</v>
      </c>
      <c r="F77" s="14" t="n">
        <v>137.1</v>
      </c>
      <c r="G77" s="16" t="n">
        <v>79.6</v>
      </c>
      <c r="H77" s="16" t="n">
        <v>69.7</v>
      </c>
      <c r="I77" s="17" t="n">
        <v>19828</v>
      </c>
      <c r="J77" s="10" t="n">
        <f aca="false">LN(D77)</f>
        <v>5.71702770140622</v>
      </c>
      <c r="K77" s="10" t="n">
        <f aca="false">LN(E77)</f>
        <v>-0.84863208340034</v>
      </c>
      <c r="L77" s="10" t="n">
        <f aca="false">LN(F77)</f>
        <v>4.92071058656827</v>
      </c>
      <c r="M77" s="10" t="n">
        <f aca="false">LN(I77)</f>
        <v>9.89485035914047</v>
      </c>
    </row>
    <row r="78" customFormat="false" ht="15" hidden="false" customHeight="false" outlineLevel="0" collapsed="false">
      <c r="A78" s="12" t="n">
        <v>6</v>
      </c>
      <c r="B78" s="18" t="s">
        <v>20</v>
      </c>
      <c r="C78" s="12" t="n">
        <v>2019</v>
      </c>
      <c r="D78" s="14" t="n">
        <v>313.1</v>
      </c>
      <c r="E78" s="15" t="n">
        <v>0.45</v>
      </c>
      <c r="F78" s="14" t="n">
        <v>146.4</v>
      </c>
      <c r="G78" s="16" t="n">
        <v>80.7</v>
      </c>
      <c r="H78" s="16" t="n">
        <v>72.9</v>
      </c>
      <c r="I78" s="17" t="n">
        <v>20601</v>
      </c>
      <c r="J78" s="10" t="n">
        <f aca="false">LN(D78)</f>
        <v>5.74652262833236</v>
      </c>
      <c r="K78" s="10" t="n">
        <f aca="false">LN(E78)</f>
        <v>-0.798507696217772</v>
      </c>
      <c r="L78" s="10" t="n">
        <f aca="false">LN(F78)</f>
        <v>4.98634260152721</v>
      </c>
      <c r="M78" s="10" t="n">
        <f aca="false">LN(I78)</f>
        <v>9.93309489728879</v>
      </c>
    </row>
    <row r="79" customFormat="false" ht="15" hidden="false" customHeight="false" outlineLevel="0" collapsed="false">
      <c r="A79" s="12" t="n">
        <v>6</v>
      </c>
      <c r="B79" s="18" t="s">
        <v>20</v>
      </c>
      <c r="C79" s="12" t="n">
        <v>2020</v>
      </c>
      <c r="D79" s="14" t="n">
        <v>322.5</v>
      </c>
      <c r="E79" s="15" t="n">
        <v>0.472</v>
      </c>
      <c r="F79" s="14" t="n">
        <v>156.4</v>
      </c>
      <c r="G79" s="16" t="n">
        <v>81.8</v>
      </c>
      <c r="H79" s="16" t="n">
        <v>76.1</v>
      </c>
      <c r="I79" s="17" t="n">
        <v>21405</v>
      </c>
      <c r="J79" s="10" t="n">
        <f aca="false">LN(D79)</f>
        <v>5.77610313623583</v>
      </c>
      <c r="K79" s="10" t="n">
        <f aca="false">LN(E79)</f>
        <v>-0.750776293396582</v>
      </c>
      <c r="L79" s="10" t="n">
        <f aca="false">LN(F79)</f>
        <v>5.05241682811121</v>
      </c>
      <c r="M79" s="10" t="n">
        <f aca="false">LN(I79)</f>
        <v>9.97137981857905</v>
      </c>
    </row>
    <row r="80" customFormat="false" ht="15" hidden="false" customHeight="false" outlineLevel="0" collapsed="false">
      <c r="A80" s="12" t="n">
        <v>6</v>
      </c>
      <c r="B80" s="18" t="s">
        <v>20</v>
      </c>
      <c r="C80" s="12" t="n">
        <v>2021</v>
      </c>
      <c r="D80" s="14" t="n">
        <v>332.2</v>
      </c>
      <c r="E80" s="15" t="n">
        <v>0.496</v>
      </c>
      <c r="F80" s="14" t="n">
        <v>167</v>
      </c>
      <c r="G80" s="16" t="n">
        <v>82.9</v>
      </c>
      <c r="H80" s="16" t="n">
        <v>79.3</v>
      </c>
      <c r="I80" s="17" t="n">
        <v>22239</v>
      </c>
      <c r="J80" s="10" t="n">
        <f aca="false">LN(D80)</f>
        <v>5.80573719717919</v>
      </c>
      <c r="K80" s="10" t="n">
        <f aca="false">LN(E80)</f>
        <v>-0.70117935225721</v>
      </c>
      <c r="L80" s="10" t="n">
        <f aca="false">LN(F80)</f>
        <v>5.11799381241676</v>
      </c>
      <c r="M80" s="10" t="n">
        <f aca="false">LN(I80)</f>
        <v>10.0096027833248</v>
      </c>
    </row>
    <row r="81" customFormat="false" ht="15" hidden="false" customHeight="false" outlineLevel="0" collapsed="false">
      <c r="A81" s="12" t="n">
        <v>6</v>
      </c>
      <c r="B81" s="18" t="s">
        <v>20</v>
      </c>
      <c r="C81" s="12" t="n">
        <v>2022</v>
      </c>
      <c r="D81" s="14" t="n">
        <v>342.2</v>
      </c>
      <c r="E81" s="15" t="n">
        <v>0.521</v>
      </c>
      <c r="F81" s="14" t="n">
        <v>178.4</v>
      </c>
      <c r="G81" s="16" t="n">
        <v>84</v>
      </c>
      <c r="H81" s="16" t="n">
        <v>82.5</v>
      </c>
      <c r="I81" s="17" t="n">
        <v>23107</v>
      </c>
      <c r="J81" s="10" t="n">
        <f aca="false">LN(D81)</f>
        <v>5.83539536145809</v>
      </c>
      <c r="K81" s="10" t="n">
        <f aca="false">LN(E81)</f>
        <v>-0.65200523722877</v>
      </c>
      <c r="L81" s="10" t="n">
        <f aca="false">LN(F81)</f>
        <v>5.18402822014591</v>
      </c>
      <c r="M81" s="10" t="n">
        <f aca="false">LN(I81)</f>
        <v>10.0478908809085</v>
      </c>
    </row>
    <row r="82" customFormat="false" ht="15" hidden="false" customHeight="false" outlineLevel="0" collapsed="false">
      <c r="A82" s="4" t="n">
        <v>7</v>
      </c>
      <c r="B82" s="5" t="s">
        <v>21</v>
      </c>
      <c r="C82" s="4" t="n">
        <v>2010</v>
      </c>
      <c r="D82" s="6" t="n">
        <v>480</v>
      </c>
      <c r="E82" s="7" t="n">
        <v>0.74</v>
      </c>
      <c r="F82" s="6" t="n">
        <v>165</v>
      </c>
      <c r="G82" s="8" t="n">
        <v>83.5</v>
      </c>
      <c r="H82" s="8" t="n">
        <v>68.9</v>
      </c>
      <c r="I82" s="9" t="n">
        <v>62800</v>
      </c>
      <c r="J82" s="10" t="n">
        <f aca="false">LN(D82)</f>
        <v>6.17378610390194</v>
      </c>
      <c r="K82" s="10" t="n">
        <f aca="false">LN(E82)</f>
        <v>-0.301105092783922</v>
      </c>
      <c r="L82" s="10" t="n">
        <f aca="false">LN(F82)</f>
        <v>5.10594547390058</v>
      </c>
      <c r="M82" s="10" t="n">
        <f aca="false">LN(I82)</f>
        <v>11.0477103524563</v>
      </c>
    </row>
    <row r="83" customFormat="false" ht="15" hidden="false" customHeight="false" outlineLevel="0" collapsed="false">
      <c r="A83" s="4" t="n">
        <v>7</v>
      </c>
      <c r="B83" s="11" t="s">
        <v>21</v>
      </c>
      <c r="C83" s="4" t="n">
        <v>2011</v>
      </c>
      <c r="D83" s="6" t="n">
        <v>499.2</v>
      </c>
      <c r="E83" s="7" t="n">
        <v>0.766</v>
      </c>
      <c r="F83" s="6" t="n">
        <v>172.9</v>
      </c>
      <c r="G83" s="8" t="n">
        <v>84.2</v>
      </c>
      <c r="H83" s="8" t="n">
        <v>70.9</v>
      </c>
      <c r="I83" s="9" t="n">
        <v>65689</v>
      </c>
      <c r="J83" s="10" t="n">
        <f aca="false">LN(D83)</f>
        <v>6.21300681705522</v>
      </c>
      <c r="K83" s="10" t="n">
        <f aca="false">LN(E83)</f>
        <v>-0.266573109241546</v>
      </c>
      <c r="L83" s="10" t="n">
        <f aca="false">LN(F83)</f>
        <v>5.15271339268925</v>
      </c>
      <c r="M83" s="10" t="n">
        <f aca="false">LN(I83)</f>
        <v>11.0926867627534</v>
      </c>
    </row>
    <row r="84" customFormat="false" ht="15" hidden="false" customHeight="false" outlineLevel="0" collapsed="false">
      <c r="A84" s="4" t="n">
        <v>7</v>
      </c>
      <c r="B84" s="11" t="s">
        <v>21</v>
      </c>
      <c r="C84" s="4" t="n">
        <v>2012</v>
      </c>
      <c r="D84" s="6" t="n">
        <v>519.2</v>
      </c>
      <c r="E84" s="7" t="n">
        <v>0.793</v>
      </c>
      <c r="F84" s="6" t="n">
        <v>181.2</v>
      </c>
      <c r="G84" s="8" t="n">
        <v>84.9</v>
      </c>
      <c r="H84" s="8" t="n">
        <v>72.9</v>
      </c>
      <c r="I84" s="9" t="n">
        <v>68710</v>
      </c>
      <c r="J84" s="10" t="n">
        <f aca="false">LN(D84)</f>
        <v>6.25228916538988</v>
      </c>
      <c r="K84" s="10" t="n">
        <f aca="false">LN(E84)</f>
        <v>-0.231932057347289</v>
      </c>
      <c r="L84" s="10" t="n">
        <f aca="false">LN(F84)</f>
        <v>5.19960139360888</v>
      </c>
      <c r="M84" s="10" t="n">
        <f aca="false">LN(I84)</f>
        <v>11.1376500280251</v>
      </c>
    </row>
    <row r="85" customFormat="false" ht="15" hidden="false" customHeight="false" outlineLevel="0" collapsed="false">
      <c r="A85" s="4" t="n">
        <v>7</v>
      </c>
      <c r="B85" s="11" t="s">
        <v>21</v>
      </c>
      <c r="C85" s="4" t="n">
        <v>2013</v>
      </c>
      <c r="D85" s="6" t="n">
        <v>539.9</v>
      </c>
      <c r="E85" s="7" t="n">
        <v>0.82</v>
      </c>
      <c r="F85" s="6" t="n">
        <v>189.9</v>
      </c>
      <c r="G85" s="8" t="n">
        <v>85.6</v>
      </c>
      <c r="H85" s="8" t="n">
        <v>74.9</v>
      </c>
      <c r="I85" s="9" t="n">
        <v>71871</v>
      </c>
      <c r="J85" s="10" t="n">
        <f aca="false">LN(D85)</f>
        <v>6.29138393722424</v>
      </c>
      <c r="K85" s="10" t="n">
        <f aca="false">LN(E85)</f>
        <v>-0.198450938723838</v>
      </c>
      <c r="L85" s="10" t="n">
        <f aca="false">LN(F85)</f>
        <v>5.24649761781824</v>
      </c>
      <c r="M85" s="10" t="n">
        <f aca="false">LN(I85)</f>
        <v>11.1826281243771</v>
      </c>
    </row>
    <row r="86" customFormat="false" ht="15" hidden="false" customHeight="false" outlineLevel="0" collapsed="false">
      <c r="A86" s="4" t="n">
        <v>7</v>
      </c>
      <c r="B86" s="11" t="s">
        <v>21</v>
      </c>
      <c r="C86" s="4" t="n">
        <v>2014</v>
      </c>
      <c r="D86" s="6" t="n">
        <v>561.5</v>
      </c>
      <c r="E86" s="7" t="n">
        <v>0.849</v>
      </c>
      <c r="F86" s="6" t="n">
        <v>199</v>
      </c>
      <c r="G86" s="8" t="n">
        <v>86.3</v>
      </c>
      <c r="H86" s="8" t="n">
        <v>76.9</v>
      </c>
      <c r="I86" s="9" t="n">
        <v>75177</v>
      </c>
      <c r="J86" s="10" t="n">
        <f aca="false">LN(D86)</f>
        <v>6.3306117741785</v>
      </c>
      <c r="K86" s="10" t="n">
        <f aca="false">LN(E86)</f>
        <v>-0.16369609267079</v>
      </c>
      <c r="L86" s="10" t="n">
        <f aca="false">LN(F86)</f>
        <v>5.29330482472449</v>
      </c>
      <c r="M86" s="10" t="n">
        <f aca="false">LN(I86)</f>
        <v>11.2276006120921</v>
      </c>
    </row>
    <row r="87" customFormat="false" ht="15" hidden="false" customHeight="false" outlineLevel="0" collapsed="false">
      <c r="A87" s="4" t="n">
        <v>7</v>
      </c>
      <c r="B87" s="11" t="s">
        <v>21</v>
      </c>
      <c r="C87" s="4" t="n">
        <v>2015</v>
      </c>
      <c r="D87" s="6" t="n">
        <v>584</v>
      </c>
      <c r="E87" s="7" t="n">
        <v>0.879</v>
      </c>
      <c r="F87" s="6" t="n">
        <v>208.6</v>
      </c>
      <c r="G87" s="8" t="n">
        <v>87</v>
      </c>
      <c r="H87" s="8" t="n">
        <v>78.9</v>
      </c>
      <c r="I87" s="9" t="n">
        <v>78635</v>
      </c>
      <c r="J87" s="10" t="n">
        <f aca="false">LN(D87)</f>
        <v>6.36990098282823</v>
      </c>
      <c r="K87" s="10" t="n">
        <f aca="false">LN(E87)</f>
        <v>-0.12897038129696</v>
      </c>
      <c r="L87" s="10" t="n">
        <f aca="false">LN(F87)</f>
        <v>5.34041854256667</v>
      </c>
      <c r="M87" s="10" t="n">
        <f aca="false">LN(I87)</f>
        <v>11.2725721719248</v>
      </c>
    </row>
    <row r="88" customFormat="false" ht="15" hidden="false" customHeight="false" outlineLevel="0" collapsed="false">
      <c r="A88" s="4" t="n">
        <v>7</v>
      </c>
      <c r="B88" s="11" t="s">
        <v>21</v>
      </c>
      <c r="C88" s="4" t="n">
        <v>2016</v>
      </c>
      <c r="D88" s="6" t="n">
        <v>607.4</v>
      </c>
      <c r="E88" s="7" t="n">
        <v>0.91</v>
      </c>
      <c r="F88" s="6" t="n">
        <v>218.6</v>
      </c>
      <c r="G88" s="8" t="n">
        <v>87.7</v>
      </c>
      <c r="H88" s="8" t="n">
        <v>80.9</v>
      </c>
      <c r="I88" s="9" t="n">
        <v>82253</v>
      </c>
      <c r="J88" s="10" t="n">
        <f aca="false">LN(D88)</f>
        <v>6.40918755261165</v>
      </c>
      <c r="K88" s="10" t="n">
        <f aca="false">LN(E88)</f>
        <v>-0.0943106794712413</v>
      </c>
      <c r="L88" s="10" t="n">
        <f aca="false">LN(F88)</f>
        <v>5.38724357574244</v>
      </c>
      <c r="M88" s="10" t="n">
        <f aca="false">LN(I88)</f>
        <v>11.3175551421266</v>
      </c>
    </row>
    <row r="89" customFormat="false" ht="15" hidden="false" customHeight="false" outlineLevel="0" collapsed="false">
      <c r="A89" s="4" t="n">
        <v>7</v>
      </c>
      <c r="B89" s="11" t="s">
        <v>21</v>
      </c>
      <c r="C89" s="4" t="n">
        <v>2017</v>
      </c>
      <c r="D89" s="6" t="n">
        <v>631.6</v>
      </c>
      <c r="E89" s="7" t="n">
        <v>0.941</v>
      </c>
      <c r="F89" s="6" t="n">
        <v>229.1</v>
      </c>
      <c r="G89" s="8" t="n">
        <v>88.4</v>
      </c>
      <c r="H89" s="8" t="n">
        <v>82.9</v>
      </c>
      <c r="I89" s="9" t="n">
        <v>86036</v>
      </c>
      <c r="J89" s="10" t="n">
        <f aca="false">LN(D89)</f>
        <v>6.44825628238149</v>
      </c>
      <c r="K89" s="10" t="n">
        <f aca="false">LN(E89)</f>
        <v>-0.0608121393967575</v>
      </c>
      <c r="L89" s="10" t="n">
        <f aca="false">LN(F89)</f>
        <v>5.43415858945945</v>
      </c>
      <c r="M89" s="10" t="n">
        <f aca="false">LN(I89)</f>
        <v>11.3625210922963</v>
      </c>
    </row>
    <row r="90" customFormat="false" ht="15" hidden="false" customHeight="false" outlineLevel="0" collapsed="false">
      <c r="A90" s="4" t="n">
        <v>7</v>
      </c>
      <c r="B90" s="11" t="s">
        <v>21</v>
      </c>
      <c r="C90" s="4" t="n">
        <v>2018</v>
      </c>
      <c r="D90" s="6" t="n">
        <v>656.9</v>
      </c>
      <c r="E90" s="7" t="n">
        <v>0.974</v>
      </c>
      <c r="F90" s="6" t="n">
        <v>240.1</v>
      </c>
      <c r="G90" s="8" t="n">
        <v>89.1</v>
      </c>
      <c r="H90" s="8" t="n">
        <v>84.9</v>
      </c>
      <c r="I90" s="9" t="n">
        <v>89994</v>
      </c>
      <c r="J90" s="10" t="n">
        <f aca="false">LN(D90)</f>
        <v>6.48753179989843</v>
      </c>
      <c r="K90" s="10" t="n">
        <f aca="false">LN(E90)</f>
        <v>-0.026343975339602</v>
      </c>
      <c r="L90" s="10" t="n">
        <f aca="false">LN(F90)</f>
        <v>5.48105550322721</v>
      </c>
      <c r="M90" s="10" t="n">
        <f aca="false">LN(I90)</f>
        <v>11.4074982804234</v>
      </c>
    </row>
    <row r="91" customFormat="false" ht="15" hidden="false" customHeight="false" outlineLevel="0" collapsed="false">
      <c r="A91" s="4" t="n">
        <v>7</v>
      </c>
      <c r="B91" s="11" t="s">
        <v>21</v>
      </c>
      <c r="C91" s="4" t="n">
        <v>2019</v>
      </c>
      <c r="D91" s="6" t="n">
        <v>683.2</v>
      </c>
      <c r="E91" s="7" t="n">
        <v>1.009</v>
      </c>
      <c r="F91" s="6" t="n">
        <v>251.6</v>
      </c>
      <c r="G91" s="8" t="n">
        <v>89.8</v>
      </c>
      <c r="H91" s="8" t="n">
        <v>86.9</v>
      </c>
      <c r="I91" s="9" t="n">
        <v>94134</v>
      </c>
      <c r="J91" s="10" t="n">
        <f aca="false">LN(D91)</f>
        <v>6.52678764247436</v>
      </c>
      <c r="K91" s="10" t="n">
        <f aca="false">LN(E91)</f>
        <v>0.0089597413714718</v>
      </c>
      <c r="L91" s="10" t="n">
        <f aca="false">LN(F91)</f>
        <v>5.52784052482629</v>
      </c>
      <c r="M91" s="10" t="n">
        <f aca="false">LN(I91)</f>
        <v>11.452474578061</v>
      </c>
    </row>
    <row r="92" customFormat="false" ht="15" hidden="false" customHeight="false" outlineLevel="0" collapsed="false">
      <c r="A92" s="4" t="n">
        <v>7</v>
      </c>
      <c r="B92" s="11" t="s">
        <v>21</v>
      </c>
      <c r="C92" s="4" t="n">
        <v>2020</v>
      </c>
      <c r="D92" s="6" t="n">
        <v>710.5</v>
      </c>
      <c r="E92" s="7" t="n">
        <v>1.044</v>
      </c>
      <c r="F92" s="6" t="n">
        <v>263.7</v>
      </c>
      <c r="G92" s="8" t="n">
        <v>90.5</v>
      </c>
      <c r="H92" s="8" t="n">
        <v>88.9</v>
      </c>
      <c r="I92" s="9" t="n">
        <v>98464</v>
      </c>
      <c r="J92" s="10" t="n">
        <f aca="false">LN(D92)</f>
        <v>6.56596894753716</v>
      </c>
      <c r="K92" s="10" t="n">
        <f aca="false">LN(E92)</f>
        <v>0.043059489460447</v>
      </c>
      <c r="L92" s="10" t="n">
        <f aca="false">LN(F92)</f>
        <v>5.57481209335924</v>
      </c>
      <c r="M92" s="10" t="n">
        <f aca="false">LN(I92)</f>
        <v>11.4974462781218</v>
      </c>
    </row>
    <row r="93" customFormat="false" ht="15" hidden="false" customHeight="false" outlineLevel="0" collapsed="false">
      <c r="A93" s="4" t="n">
        <v>7</v>
      </c>
      <c r="B93" s="11" t="s">
        <v>21</v>
      </c>
      <c r="C93" s="4" t="n">
        <v>2021</v>
      </c>
      <c r="D93" s="6" t="n">
        <v>738.9</v>
      </c>
      <c r="E93" s="7" t="n">
        <v>1.08</v>
      </c>
      <c r="F93" s="6" t="n">
        <v>276.3</v>
      </c>
      <c r="G93" s="8" t="n">
        <v>91.2</v>
      </c>
      <c r="H93" s="8" t="n">
        <v>90.9</v>
      </c>
      <c r="I93" s="9" t="n">
        <v>102993</v>
      </c>
      <c r="J93" s="10" t="n">
        <f aca="false">LN(D93)</f>
        <v>6.6051625937946</v>
      </c>
      <c r="K93" s="10" t="n">
        <f aca="false">LN(E93)</f>
        <v>0.0769610411361284</v>
      </c>
      <c r="L93" s="10" t="n">
        <f aca="false">LN(F93)</f>
        <v>5.62148723192937</v>
      </c>
      <c r="M93" s="10" t="n">
        <f aca="false">LN(I93)</f>
        <v>11.5424163037373</v>
      </c>
    </row>
    <row r="94" customFormat="false" ht="15" hidden="false" customHeight="false" outlineLevel="0" collapsed="false">
      <c r="A94" s="4" t="n">
        <v>7</v>
      </c>
      <c r="B94" s="11" t="s">
        <v>21</v>
      </c>
      <c r="C94" s="4" t="n">
        <v>2022</v>
      </c>
      <c r="D94" s="6" t="n">
        <v>768.5</v>
      </c>
      <c r="E94" s="7" t="n">
        <v>1.118</v>
      </c>
      <c r="F94" s="6" t="n">
        <v>289.6</v>
      </c>
      <c r="G94" s="8" t="n">
        <v>91.9</v>
      </c>
      <c r="H94" s="8" t="n">
        <v>92.9</v>
      </c>
      <c r="I94" s="9" t="n">
        <v>107731</v>
      </c>
      <c r="J94" s="10" t="n">
        <f aca="false">LN(D94)</f>
        <v>6.64444056297865</v>
      </c>
      <c r="K94" s="10" t="n">
        <f aca="false">LN(E94)</f>
        <v>0.111541374732908</v>
      </c>
      <c r="L94" s="10" t="n">
        <f aca="false">LN(F94)</f>
        <v>5.66850066051156</v>
      </c>
      <c r="M94" s="10" t="n">
        <f aca="false">LN(I94)</f>
        <v>11.5873926583106</v>
      </c>
    </row>
    <row r="95" customFormat="false" ht="15" hidden="false" customHeight="false" outlineLevel="0" collapsed="false">
      <c r="A95" s="12" t="n">
        <v>8</v>
      </c>
      <c r="B95" s="13" t="s">
        <v>22</v>
      </c>
      <c r="C95" s="12" t="n">
        <v>2010</v>
      </c>
      <c r="D95" s="14" t="n">
        <v>195</v>
      </c>
      <c r="E95" s="15" t="n">
        <v>0.18</v>
      </c>
      <c r="F95" s="14" t="n">
        <v>65</v>
      </c>
      <c r="G95" s="16" t="n">
        <v>66.2</v>
      </c>
      <c r="H95" s="16" t="n">
        <v>35.4</v>
      </c>
      <c r="I95" s="17" t="n">
        <v>11200</v>
      </c>
      <c r="J95" s="10" t="n">
        <f aca="false">LN(D95)</f>
        <v>5.27299955856375</v>
      </c>
      <c r="K95" s="10" t="n">
        <f aca="false">LN(E95)</f>
        <v>-1.71479842809193</v>
      </c>
      <c r="L95" s="10" t="n">
        <f aca="false">LN(F95)</f>
        <v>4.17438726989564</v>
      </c>
      <c r="M95" s="10" t="n">
        <f aca="false">LN(I95)</f>
        <v>9.32366905728319</v>
      </c>
    </row>
    <row r="96" customFormat="false" ht="15" hidden="false" customHeight="false" outlineLevel="0" collapsed="false">
      <c r="A96" s="12" t="n">
        <v>8</v>
      </c>
      <c r="B96" s="18" t="s">
        <v>22</v>
      </c>
      <c r="C96" s="12" t="n">
        <v>2011</v>
      </c>
      <c r="D96" s="14" t="n">
        <v>200.1</v>
      </c>
      <c r="E96" s="15" t="n">
        <v>0.19</v>
      </c>
      <c r="F96" s="14" t="n">
        <v>69.8</v>
      </c>
      <c r="G96" s="16" t="n">
        <v>67.5</v>
      </c>
      <c r="H96" s="16" t="n">
        <v>39.1</v>
      </c>
      <c r="I96" s="17" t="n">
        <v>11603</v>
      </c>
      <c r="J96" s="10" t="n">
        <f aca="false">LN(D96)</f>
        <v>5.29881724158969</v>
      </c>
      <c r="K96" s="10" t="n">
        <f aca="false">LN(E96)</f>
        <v>-1.66073120682165</v>
      </c>
      <c r="L96" s="10" t="n">
        <f aca="false">LN(F96)</f>
        <v>4.24563400976833</v>
      </c>
      <c r="M96" s="10" t="n">
        <f aca="false">LN(I96)</f>
        <v>9.35901896434755</v>
      </c>
    </row>
    <row r="97" customFormat="false" ht="15" hidden="false" customHeight="false" outlineLevel="0" collapsed="false">
      <c r="A97" s="12" t="n">
        <v>8</v>
      </c>
      <c r="B97" s="18" t="s">
        <v>22</v>
      </c>
      <c r="C97" s="12" t="n">
        <v>2012</v>
      </c>
      <c r="D97" s="14" t="n">
        <v>205.3</v>
      </c>
      <c r="E97" s="15" t="n">
        <v>0.2</v>
      </c>
      <c r="F97" s="14" t="n">
        <v>75</v>
      </c>
      <c r="G97" s="16" t="n">
        <v>68.8</v>
      </c>
      <c r="H97" s="16" t="n">
        <v>42.8</v>
      </c>
      <c r="I97" s="17" t="n">
        <v>12021</v>
      </c>
      <c r="J97" s="10" t="n">
        <f aca="false">LN(D97)</f>
        <v>5.32447232402489</v>
      </c>
      <c r="K97" s="10" t="n">
        <f aca="false">LN(E97)</f>
        <v>-1.6094379124341</v>
      </c>
      <c r="L97" s="10" t="n">
        <f aca="false">LN(F97)</f>
        <v>4.31748811353631</v>
      </c>
      <c r="M97" s="10" t="n">
        <f aca="false">LN(I97)</f>
        <v>9.39441039930425</v>
      </c>
    </row>
    <row r="98" customFormat="false" ht="15" hidden="false" customHeight="false" outlineLevel="0" collapsed="false">
      <c r="A98" s="12" t="n">
        <v>8</v>
      </c>
      <c r="B98" s="18" t="s">
        <v>22</v>
      </c>
      <c r="C98" s="12" t="n">
        <v>2013</v>
      </c>
      <c r="D98" s="14" t="n">
        <v>210.6</v>
      </c>
      <c r="E98" s="15" t="n">
        <v>0.211</v>
      </c>
      <c r="F98" s="14" t="n">
        <v>80.5</v>
      </c>
      <c r="G98" s="16" t="n">
        <v>70.1</v>
      </c>
      <c r="H98" s="16" t="n">
        <v>46.5</v>
      </c>
      <c r="I98" s="17" t="n">
        <v>12454</v>
      </c>
      <c r="J98" s="10" t="n">
        <f aca="false">LN(D98)</f>
        <v>5.34996059969988</v>
      </c>
      <c r="K98" s="10" t="n">
        <f aca="false">LN(E98)</f>
        <v>-1.55589714550607</v>
      </c>
      <c r="L98" s="10" t="n">
        <f aca="false">LN(F98)</f>
        <v>4.38825718442452</v>
      </c>
      <c r="M98" s="10" t="n">
        <f aca="false">LN(I98)</f>
        <v>9.4297971354324</v>
      </c>
    </row>
    <row r="99" customFormat="false" ht="15" hidden="false" customHeight="false" outlineLevel="0" collapsed="false">
      <c r="A99" s="12" t="n">
        <v>8</v>
      </c>
      <c r="B99" s="18" t="s">
        <v>22</v>
      </c>
      <c r="C99" s="12" t="n">
        <v>2014</v>
      </c>
      <c r="D99" s="14" t="n">
        <v>216.1</v>
      </c>
      <c r="E99" s="15" t="n">
        <v>0.223</v>
      </c>
      <c r="F99" s="14" t="n">
        <v>86.5</v>
      </c>
      <c r="G99" s="16" t="n">
        <v>71.4</v>
      </c>
      <c r="H99" s="16" t="n">
        <v>50.2</v>
      </c>
      <c r="I99" s="17" t="n">
        <v>12902</v>
      </c>
      <c r="J99" s="10" t="n">
        <f aca="false">LN(D99)</f>
        <v>5.37574126351284</v>
      </c>
      <c r="K99" s="10" t="n">
        <f aca="false">LN(E99)</f>
        <v>-1.50058350752202</v>
      </c>
      <c r="L99" s="10" t="n">
        <f aca="false">LN(F99)</f>
        <v>4.46014441393783</v>
      </c>
      <c r="M99" s="10" t="n">
        <f aca="false">LN(I99)</f>
        <v>9.46513761709219</v>
      </c>
    </row>
    <row r="100" customFormat="false" ht="15" hidden="false" customHeight="false" outlineLevel="0" collapsed="false">
      <c r="A100" s="12" t="n">
        <v>8</v>
      </c>
      <c r="B100" s="18" t="s">
        <v>22</v>
      </c>
      <c r="C100" s="12" t="n">
        <v>2015</v>
      </c>
      <c r="D100" s="14" t="n">
        <v>221.7</v>
      </c>
      <c r="E100" s="15" t="n">
        <v>0.235</v>
      </c>
      <c r="F100" s="14" t="n">
        <v>92.9</v>
      </c>
      <c r="G100" s="16" t="n">
        <v>72.7</v>
      </c>
      <c r="H100" s="16" t="n">
        <v>53.9</v>
      </c>
      <c r="I100" s="17" t="n">
        <v>13366</v>
      </c>
      <c r="J100" s="10" t="n">
        <f aca="false">LN(D100)</f>
        <v>5.40132511662227</v>
      </c>
      <c r="K100" s="10" t="n">
        <f aca="false">LN(E100)</f>
        <v>-1.44816976483798</v>
      </c>
      <c r="L100" s="10" t="n">
        <f aca="false">LN(F100)</f>
        <v>4.53152364581979</v>
      </c>
      <c r="M100" s="10" t="n">
        <f aca="false">LN(I100)</f>
        <v>9.50046944807102</v>
      </c>
    </row>
    <row r="101" customFormat="false" ht="15" hidden="false" customHeight="false" outlineLevel="0" collapsed="false">
      <c r="A101" s="12" t="n">
        <v>8</v>
      </c>
      <c r="B101" s="18" t="s">
        <v>22</v>
      </c>
      <c r="C101" s="12" t="n">
        <v>2016</v>
      </c>
      <c r="D101" s="14" t="n">
        <v>227.5</v>
      </c>
      <c r="E101" s="15" t="n">
        <v>0.248</v>
      </c>
      <c r="F101" s="14" t="n">
        <v>99.8</v>
      </c>
      <c r="G101" s="16" t="n">
        <v>74</v>
      </c>
      <c r="H101" s="16" t="n">
        <v>57.6</v>
      </c>
      <c r="I101" s="17" t="n">
        <v>13848</v>
      </c>
      <c r="J101" s="10" t="n">
        <f aca="false">LN(D101)</f>
        <v>5.42715023839101</v>
      </c>
      <c r="K101" s="10" t="n">
        <f aca="false">LN(E101)</f>
        <v>-1.39432653281715</v>
      </c>
      <c r="L101" s="10" t="n">
        <f aca="false">LN(F101)</f>
        <v>4.60316818331742</v>
      </c>
      <c r="M101" s="10" t="n">
        <f aca="false">LN(I101)</f>
        <v>9.53589609685605</v>
      </c>
    </row>
    <row r="102" customFormat="false" ht="15" hidden="false" customHeight="false" outlineLevel="0" collapsed="false">
      <c r="A102" s="12" t="n">
        <v>8</v>
      </c>
      <c r="B102" s="18" t="s">
        <v>22</v>
      </c>
      <c r="C102" s="12" t="n">
        <v>2017</v>
      </c>
      <c r="D102" s="14" t="n">
        <v>233.4</v>
      </c>
      <c r="E102" s="15" t="n">
        <v>0.262</v>
      </c>
      <c r="F102" s="14" t="n">
        <v>107.1</v>
      </c>
      <c r="G102" s="16" t="n">
        <v>75.3</v>
      </c>
      <c r="H102" s="16" t="n">
        <v>61.3</v>
      </c>
      <c r="I102" s="17" t="n">
        <v>14346</v>
      </c>
      <c r="J102" s="10" t="n">
        <f aca="false">LN(D102)</f>
        <v>5.45275371985246</v>
      </c>
      <c r="K102" s="10" t="n">
        <f aca="false">LN(E102)</f>
        <v>-1.33941077522104</v>
      </c>
      <c r="L102" s="10" t="n">
        <f aca="false">LN(F102)</f>
        <v>4.6737629774537</v>
      </c>
      <c r="M102" s="10" t="n">
        <f aca="false">LN(I102)</f>
        <v>9.57122643668638</v>
      </c>
    </row>
    <row r="103" customFormat="false" ht="15" hidden="false" customHeight="false" outlineLevel="0" collapsed="false">
      <c r="A103" s="12" t="n">
        <v>8</v>
      </c>
      <c r="B103" s="18" t="s">
        <v>22</v>
      </c>
      <c r="C103" s="12" t="n">
        <v>2018</v>
      </c>
      <c r="D103" s="14" t="n">
        <v>239.4</v>
      </c>
      <c r="E103" s="15" t="n">
        <v>0.276</v>
      </c>
      <c r="F103" s="14" t="n">
        <v>115.1</v>
      </c>
      <c r="G103" s="16" t="n">
        <v>76.6</v>
      </c>
      <c r="H103" s="16" t="n">
        <v>65</v>
      </c>
      <c r="I103" s="17" t="n">
        <v>14863</v>
      </c>
      <c r="J103" s="10" t="n">
        <f aca="false">LN(D103)</f>
        <v>5.47813579312387</v>
      </c>
      <c r="K103" s="10" t="n">
        <f aca="false">LN(E103)</f>
        <v>-1.28735441326499</v>
      </c>
      <c r="L103" s="10" t="n">
        <f aca="false">LN(F103)</f>
        <v>4.74580131572784</v>
      </c>
      <c r="M103" s="10" t="n">
        <f aca="false">LN(I103)</f>
        <v>9.60663018214889</v>
      </c>
    </row>
    <row r="104" customFormat="false" ht="15" hidden="false" customHeight="false" outlineLevel="0" collapsed="false">
      <c r="A104" s="12" t="n">
        <v>8</v>
      </c>
      <c r="B104" s="18" t="s">
        <v>22</v>
      </c>
      <c r="C104" s="12" t="n">
        <v>2019</v>
      </c>
      <c r="D104" s="14" t="n">
        <v>245.7</v>
      </c>
      <c r="E104" s="15" t="n">
        <v>0.291</v>
      </c>
      <c r="F104" s="14" t="n">
        <v>123.6</v>
      </c>
      <c r="G104" s="16" t="n">
        <v>77.9</v>
      </c>
      <c r="H104" s="16" t="n">
        <v>68.7</v>
      </c>
      <c r="I104" s="17" t="n">
        <v>15398</v>
      </c>
      <c r="J104" s="10" t="n">
        <f aca="false">LN(D104)</f>
        <v>5.50411127952713</v>
      </c>
      <c r="K104" s="10" t="n">
        <f aca="false">LN(E104)</f>
        <v>-1.23443201181064</v>
      </c>
      <c r="L104" s="10" t="n">
        <f aca="false">LN(F104)</f>
        <v>4.81705054502359</v>
      </c>
      <c r="M104" s="10" t="n">
        <f aca="false">LN(I104)</f>
        <v>9.641992909838</v>
      </c>
    </row>
    <row r="105" customFormat="false" ht="15" hidden="false" customHeight="false" outlineLevel="0" collapsed="false">
      <c r="A105" s="12" t="n">
        <v>8</v>
      </c>
      <c r="B105" s="18" t="s">
        <v>22</v>
      </c>
      <c r="C105" s="12" t="n">
        <v>2020</v>
      </c>
      <c r="D105" s="14" t="n">
        <v>252.1</v>
      </c>
      <c r="E105" s="15" t="n">
        <v>0.307</v>
      </c>
      <c r="F105" s="14" t="n">
        <v>132.7</v>
      </c>
      <c r="G105" s="16" t="n">
        <v>79.2</v>
      </c>
      <c r="H105" s="16" t="n">
        <v>72.4</v>
      </c>
      <c r="I105" s="17" t="n">
        <v>15952</v>
      </c>
      <c r="J105" s="10" t="n">
        <f aca="false">LN(D105)</f>
        <v>5.52982583419387</v>
      </c>
      <c r="K105" s="10" t="n">
        <f aca="false">LN(E105)</f>
        <v>-1.18090753139494</v>
      </c>
      <c r="L105" s="10" t="n">
        <f aca="false">LN(F105)</f>
        <v>4.88809094133816</v>
      </c>
      <c r="M105" s="10" t="n">
        <f aca="false">LN(I105)</f>
        <v>9.67733949220162</v>
      </c>
    </row>
    <row r="106" customFormat="false" ht="15" hidden="false" customHeight="false" outlineLevel="0" collapsed="false">
      <c r="A106" s="12" t="n">
        <v>8</v>
      </c>
      <c r="B106" s="18" t="s">
        <v>22</v>
      </c>
      <c r="C106" s="12" t="n">
        <v>2021</v>
      </c>
      <c r="D106" s="14" t="n">
        <v>258.6</v>
      </c>
      <c r="E106" s="15" t="n">
        <v>0.324</v>
      </c>
      <c r="F106" s="14" t="n">
        <v>142.5</v>
      </c>
      <c r="G106" s="16" t="n">
        <v>80.5</v>
      </c>
      <c r="H106" s="16" t="n">
        <v>76.1</v>
      </c>
      <c r="I106" s="17" t="n">
        <v>16526</v>
      </c>
      <c r="J106" s="10" t="n">
        <f aca="false">LN(D106)</f>
        <v>5.55528246633776</v>
      </c>
      <c r="K106" s="10" t="n">
        <f aca="false">LN(E106)</f>
        <v>-1.12701176318981</v>
      </c>
      <c r="L106" s="10" t="n">
        <f aca="false">LN(F106)</f>
        <v>4.95934199970871</v>
      </c>
      <c r="M106" s="10" t="n">
        <f aca="false">LN(I106)</f>
        <v>9.71269017726113</v>
      </c>
    </row>
    <row r="107" customFormat="false" ht="15" hidden="false" customHeight="false" outlineLevel="0" collapsed="false">
      <c r="A107" s="12" t="n">
        <v>8</v>
      </c>
      <c r="B107" s="18" t="s">
        <v>22</v>
      </c>
      <c r="C107" s="12" t="n">
        <v>2022</v>
      </c>
      <c r="D107" s="14" t="n">
        <v>265.3</v>
      </c>
      <c r="E107" s="15" t="n">
        <v>0.342</v>
      </c>
      <c r="F107" s="14" t="n">
        <v>153.1</v>
      </c>
      <c r="G107" s="16" t="n">
        <v>81.8</v>
      </c>
      <c r="H107" s="16" t="n">
        <v>79.8</v>
      </c>
      <c r="I107" s="17" t="n">
        <v>17121</v>
      </c>
      <c r="J107" s="10" t="n">
        <f aca="false">LN(D107)</f>
        <v>5.58086126114369</v>
      </c>
      <c r="K107" s="10" t="n">
        <f aca="false">LN(E107)</f>
        <v>-1.07294454191953</v>
      </c>
      <c r="L107" s="10" t="n">
        <f aca="false">LN(F107)</f>
        <v>5.03109130266364</v>
      </c>
      <c r="M107" s="10" t="n">
        <f aca="false">LN(I107)</f>
        <v>9.74806105920482</v>
      </c>
    </row>
    <row r="108" customFormat="false" ht="15" hidden="false" customHeight="false" outlineLevel="0" collapsed="false">
      <c r="A108" s="4" t="n">
        <v>9</v>
      </c>
      <c r="B108" s="5" t="s">
        <v>23</v>
      </c>
      <c r="C108" s="4" t="n">
        <v>2010</v>
      </c>
      <c r="D108" s="6" t="n">
        <v>230</v>
      </c>
      <c r="E108" s="7" t="n">
        <v>0.25</v>
      </c>
      <c r="F108" s="6" t="n">
        <v>78</v>
      </c>
      <c r="G108" s="8" t="n">
        <v>69.7</v>
      </c>
      <c r="H108" s="8" t="n">
        <v>41.8</v>
      </c>
      <c r="I108" s="9" t="n">
        <v>17400</v>
      </c>
      <c r="J108" s="10" t="n">
        <f aca="false">LN(D108)</f>
        <v>5.4380793089232</v>
      </c>
      <c r="K108" s="10" t="n">
        <f aca="false">LN(E108)</f>
        <v>-1.38629436111989</v>
      </c>
      <c r="L108" s="10" t="n">
        <f aca="false">LN(F108)</f>
        <v>4.35670882668959</v>
      </c>
      <c r="M108" s="10" t="n">
        <f aca="false">LN(I108)</f>
        <v>9.76422548520262</v>
      </c>
    </row>
    <row r="109" customFormat="false" ht="15" hidden="false" customHeight="false" outlineLevel="0" collapsed="false">
      <c r="A109" s="4" t="n">
        <v>9</v>
      </c>
      <c r="B109" s="11" t="s">
        <v>23</v>
      </c>
      <c r="C109" s="4" t="n">
        <v>2011</v>
      </c>
      <c r="D109" s="6" t="n">
        <v>236.7</v>
      </c>
      <c r="E109" s="7" t="n">
        <v>0.263</v>
      </c>
      <c r="F109" s="6" t="n">
        <v>83.5</v>
      </c>
      <c r="G109" s="8" t="n">
        <v>70.9</v>
      </c>
      <c r="H109" s="8" t="n">
        <v>45.3</v>
      </c>
      <c r="I109" s="9" t="n">
        <v>18061</v>
      </c>
      <c r="J109" s="10" t="n">
        <f aca="false">LN(D109)</f>
        <v>5.46679351651994</v>
      </c>
      <c r="K109" s="10" t="n">
        <f aca="false">LN(E109)</f>
        <v>-1.33560124680437</v>
      </c>
      <c r="L109" s="10" t="n">
        <f aca="false">LN(F109)</f>
        <v>4.42484663185681</v>
      </c>
      <c r="M109" s="10" t="n">
        <f aca="false">LN(I109)</f>
        <v>9.80151019642366</v>
      </c>
    </row>
    <row r="110" customFormat="false" ht="15" hidden="false" customHeight="false" outlineLevel="0" collapsed="false">
      <c r="A110" s="4" t="n">
        <v>9</v>
      </c>
      <c r="B110" s="11" t="s">
        <v>23</v>
      </c>
      <c r="C110" s="4" t="n">
        <v>2012</v>
      </c>
      <c r="D110" s="6" t="n">
        <v>243.5</v>
      </c>
      <c r="E110" s="7" t="n">
        <v>0.277</v>
      </c>
      <c r="F110" s="6" t="n">
        <v>89.3</v>
      </c>
      <c r="G110" s="8" t="n">
        <v>72.1</v>
      </c>
      <c r="H110" s="8" t="n">
        <v>48.8</v>
      </c>
      <c r="I110" s="9" t="n">
        <v>18748</v>
      </c>
      <c r="J110" s="10" t="n">
        <f aca="false">LN(D110)</f>
        <v>5.49511694252264</v>
      </c>
      <c r="K110" s="10" t="n">
        <f aca="false">LN(E110)</f>
        <v>-1.2837377727948</v>
      </c>
      <c r="L110" s="10" t="n">
        <f aca="false">LN(F110)</f>
        <v>4.49200148788245</v>
      </c>
      <c r="M110" s="10" t="n">
        <f aca="false">LN(I110)</f>
        <v>9.8388423590426</v>
      </c>
    </row>
    <row r="111" customFormat="false" ht="15" hidden="false" customHeight="false" outlineLevel="0" collapsed="false">
      <c r="A111" s="4" t="n">
        <v>9</v>
      </c>
      <c r="B111" s="11" t="s">
        <v>23</v>
      </c>
      <c r="C111" s="4" t="n">
        <v>2013</v>
      </c>
      <c r="D111" s="6" t="n">
        <v>250.6</v>
      </c>
      <c r="E111" s="7" t="n">
        <v>0.292</v>
      </c>
      <c r="F111" s="6" t="n">
        <v>95.6</v>
      </c>
      <c r="G111" s="8" t="n">
        <v>73.3</v>
      </c>
      <c r="H111" s="8" t="n">
        <v>52.3</v>
      </c>
      <c r="I111" s="9" t="n">
        <v>19460</v>
      </c>
      <c r="J111" s="10" t="n">
        <f aca="false">LN(D111)</f>
        <v>5.52385804246197</v>
      </c>
      <c r="K111" s="10" t="n">
        <f aca="false">LN(E111)</f>
        <v>-1.23100147671386</v>
      </c>
      <c r="L111" s="10" t="n">
        <f aca="false">LN(F111)</f>
        <v>4.56017282005736</v>
      </c>
      <c r="M111" s="10" t="n">
        <f aca="false">LN(I111)</f>
        <v>9.87611635574</v>
      </c>
    </row>
    <row r="112" customFormat="false" ht="15" hidden="false" customHeight="false" outlineLevel="0" collapsed="false">
      <c r="A112" s="4" t="n">
        <v>9</v>
      </c>
      <c r="B112" s="11" t="s">
        <v>23</v>
      </c>
      <c r="C112" s="4" t="n">
        <v>2014</v>
      </c>
      <c r="D112" s="6" t="n">
        <v>257.9</v>
      </c>
      <c r="E112" s="7" t="n">
        <v>0.307</v>
      </c>
      <c r="F112" s="6" t="n">
        <v>102.2</v>
      </c>
      <c r="G112" s="8" t="n">
        <v>74.5</v>
      </c>
      <c r="H112" s="8" t="n">
        <v>55.8</v>
      </c>
      <c r="I112" s="9" t="n">
        <v>20199</v>
      </c>
      <c r="J112" s="10" t="n">
        <f aca="false">LN(D112)</f>
        <v>5.5525719128873</v>
      </c>
      <c r="K112" s="10" t="n">
        <f aca="false">LN(E112)</f>
        <v>-1.18090753139494</v>
      </c>
      <c r="L112" s="10" t="n">
        <f aca="false">LN(F112)</f>
        <v>4.6269316777696</v>
      </c>
      <c r="M112" s="10" t="n">
        <f aca="false">LN(I112)</f>
        <v>9.91338837721339</v>
      </c>
    </row>
    <row r="113" customFormat="false" ht="15" hidden="false" customHeight="false" outlineLevel="0" collapsed="false">
      <c r="A113" s="4" t="n">
        <v>9</v>
      </c>
      <c r="B113" s="11" t="s">
        <v>23</v>
      </c>
      <c r="C113" s="4" t="n">
        <v>2015</v>
      </c>
      <c r="D113" s="6" t="n">
        <v>265.3</v>
      </c>
      <c r="E113" s="7" t="n">
        <v>0.324</v>
      </c>
      <c r="F113" s="6" t="n">
        <v>109.4</v>
      </c>
      <c r="G113" s="8" t="n">
        <v>75.7</v>
      </c>
      <c r="H113" s="8" t="n">
        <v>59.3</v>
      </c>
      <c r="I113" s="9" t="n">
        <v>20967</v>
      </c>
      <c r="J113" s="10" t="n">
        <f aca="false">LN(D113)</f>
        <v>5.58086126114369</v>
      </c>
      <c r="K113" s="10" t="n">
        <f aca="false">LN(E113)</f>
        <v>-1.12701176318981</v>
      </c>
      <c r="L113" s="10" t="n">
        <f aca="false">LN(F113)</f>
        <v>4.69501088998788</v>
      </c>
      <c r="M113" s="10" t="n">
        <f aca="false">LN(I113)</f>
        <v>9.95070505214524</v>
      </c>
    </row>
    <row r="114" customFormat="false" ht="15" hidden="false" customHeight="false" outlineLevel="0" collapsed="false">
      <c r="A114" s="4" t="n">
        <v>9</v>
      </c>
      <c r="B114" s="11" t="s">
        <v>23</v>
      </c>
      <c r="C114" s="4" t="n">
        <v>2016</v>
      </c>
      <c r="D114" s="6" t="n">
        <v>273</v>
      </c>
      <c r="E114" s="7" t="n">
        <v>0.341</v>
      </c>
      <c r="F114" s="6" t="n">
        <v>117.1</v>
      </c>
      <c r="G114" s="8" t="n">
        <v>76.9</v>
      </c>
      <c r="H114" s="8" t="n">
        <v>62.8</v>
      </c>
      <c r="I114" s="9" t="n">
        <v>21764</v>
      </c>
      <c r="J114" s="10" t="n">
        <f aca="false">LN(D114)</f>
        <v>5.60947179518496</v>
      </c>
      <c r="K114" s="10" t="n">
        <f aca="false">LN(E114)</f>
        <v>-1.07587280169862</v>
      </c>
      <c r="L114" s="10" t="n">
        <f aca="false">LN(F114)</f>
        <v>4.76302827060367</v>
      </c>
      <c r="M114" s="10" t="n">
        <f aca="false">LN(I114)</f>
        <v>9.98801250760582</v>
      </c>
    </row>
    <row r="115" customFormat="false" ht="15" hidden="false" customHeight="false" outlineLevel="0" collapsed="false">
      <c r="A115" s="4" t="n">
        <v>9</v>
      </c>
      <c r="B115" s="11" t="s">
        <v>23</v>
      </c>
      <c r="C115" s="4" t="n">
        <v>2017</v>
      </c>
      <c r="D115" s="6" t="n">
        <v>281</v>
      </c>
      <c r="E115" s="7" t="n">
        <v>0.359</v>
      </c>
      <c r="F115" s="6" t="n">
        <v>125.3</v>
      </c>
      <c r="G115" s="8" t="n">
        <v>78.1</v>
      </c>
      <c r="H115" s="8" t="n">
        <v>66.3</v>
      </c>
      <c r="I115" s="9" t="n">
        <v>22591</v>
      </c>
      <c r="J115" s="10" t="n">
        <f aca="false">LN(D115)</f>
        <v>5.63835466933375</v>
      </c>
      <c r="K115" s="10" t="n">
        <f aca="false">LN(E115)</f>
        <v>-1.02443289049386</v>
      </c>
      <c r="L115" s="10" t="n">
        <f aca="false">LN(F115)</f>
        <v>4.83071086190202</v>
      </c>
      <c r="M115" s="10" t="n">
        <f aca="false">LN(I115)</f>
        <v>10.0253068758572</v>
      </c>
    </row>
    <row r="116" customFormat="false" ht="15" hidden="false" customHeight="false" outlineLevel="0" collapsed="false">
      <c r="A116" s="4" t="n">
        <v>9</v>
      </c>
      <c r="B116" s="11" t="s">
        <v>23</v>
      </c>
      <c r="C116" s="4" t="n">
        <v>2018</v>
      </c>
      <c r="D116" s="6" t="n">
        <v>289.1</v>
      </c>
      <c r="E116" s="7" t="n">
        <v>0.378</v>
      </c>
      <c r="F116" s="6" t="n">
        <v>134</v>
      </c>
      <c r="G116" s="8" t="n">
        <v>79.3</v>
      </c>
      <c r="H116" s="8" t="n">
        <v>69.8</v>
      </c>
      <c r="I116" s="9" t="n">
        <v>23449</v>
      </c>
      <c r="J116" s="10" t="n">
        <f aca="false">LN(D116)</f>
        <v>5.6667726490223</v>
      </c>
      <c r="K116" s="10" t="n">
        <f aca="false">LN(E116)</f>
        <v>-0.972861083362549</v>
      </c>
      <c r="L116" s="10" t="n">
        <f aca="false">LN(F116)</f>
        <v>4.89783979995091</v>
      </c>
      <c r="M116" s="10" t="n">
        <f aca="false">LN(I116)</f>
        <v>10.0625831290419</v>
      </c>
    </row>
    <row r="117" customFormat="false" ht="15" hidden="false" customHeight="false" outlineLevel="0" collapsed="false">
      <c r="A117" s="4" t="n">
        <v>9</v>
      </c>
      <c r="B117" s="11" t="s">
        <v>23</v>
      </c>
      <c r="C117" s="4" t="n">
        <v>2019</v>
      </c>
      <c r="D117" s="6" t="n">
        <v>297.5</v>
      </c>
      <c r="E117" s="7" t="n">
        <v>0.398</v>
      </c>
      <c r="F117" s="6" t="n">
        <v>143.4</v>
      </c>
      <c r="G117" s="8" t="n">
        <v>80.5</v>
      </c>
      <c r="H117" s="8" t="n">
        <v>73.3</v>
      </c>
      <c r="I117" s="9" t="n">
        <v>24340</v>
      </c>
      <c r="J117" s="10" t="n">
        <f aca="false">LN(D117)</f>
        <v>5.69541422498569</v>
      </c>
      <c r="K117" s="10" t="n">
        <f aca="false">LN(E117)</f>
        <v>-0.921303273697699</v>
      </c>
      <c r="L117" s="10" t="n">
        <f aca="false">LN(F117)</f>
        <v>4.96563792816552</v>
      </c>
      <c r="M117" s="10" t="n">
        <f aca="false">LN(I117)</f>
        <v>10.0998763665415</v>
      </c>
    </row>
    <row r="118" customFormat="false" ht="15" hidden="false" customHeight="false" outlineLevel="0" collapsed="false">
      <c r="A118" s="4" t="n">
        <v>9</v>
      </c>
      <c r="B118" s="11" t="s">
        <v>23</v>
      </c>
      <c r="C118" s="4" t="n">
        <v>2020</v>
      </c>
      <c r="D118" s="6" t="n">
        <v>306.1</v>
      </c>
      <c r="E118" s="7" t="n">
        <v>0.419</v>
      </c>
      <c r="F118" s="6" t="n">
        <v>153.4</v>
      </c>
      <c r="G118" s="8" t="n">
        <v>81.7</v>
      </c>
      <c r="H118" s="8" t="n">
        <v>76.8</v>
      </c>
      <c r="I118" s="9" t="n">
        <v>25265</v>
      </c>
      <c r="J118" s="10" t="n">
        <f aca="false">LN(D118)</f>
        <v>5.72391184595137</v>
      </c>
      <c r="K118" s="10" t="n">
        <f aca="false">LN(E118)</f>
        <v>-0.869884359059999</v>
      </c>
      <c r="L118" s="10" t="n">
        <f aca="false">LN(F118)</f>
        <v>5.03304888893316</v>
      </c>
      <c r="M118" s="10" t="n">
        <f aca="false">LN(I118)</f>
        <v>10.137175317726</v>
      </c>
    </row>
    <row r="119" customFormat="false" ht="15" hidden="false" customHeight="false" outlineLevel="0" collapsed="false">
      <c r="A119" s="4" t="n">
        <v>9</v>
      </c>
      <c r="B119" s="11" t="s">
        <v>23</v>
      </c>
      <c r="C119" s="4" t="n">
        <v>2021</v>
      </c>
      <c r="D119" s="6" t="n">
        <v>315</v>
      </c>
      <c r="E119" s="7" t="n">
        <v>0.441</v>
      </c>
      <c r="F119" s="6" t="n">
        <v>164.2</v>
      </c>
      <c r="G119" s="8" t="n">
        <v>82.9</v>
      </c>
      <c r="H119" s="8" t="n">
        <v>80.3</v>
      </c>
      <c r="I119" s="9" t="n">
        <v>26225</v>
      </c>
      <c r="J119" s="10" t="n">
        <f aca="false">LN(D119)</f>
        <v>5.75257263882563</v>
      </c>
      <c r="K119" s="10" t="n">
        <f aca="false">LN(E119)</f>
        <v>-0.818710403535291</v>
      </c>
      <c r="L119" s="10" t="n">
        <f aca="false">LN(F119)</f>
        <v>5.10108519701833</v>
      </c>
      <c r="M119" s="10" t="n">
        <f aca="false">LN(I119)</f>
        <v>10.1744684332645</v>
      </c>
    </row>
    <row r="120" customFormat="false" ht="15" hidden="false" customHeight="false" outlineLevel="0" collapsed="false">
      <c r="A120" s="4" t="n">
        <v>9</v>
      </c>
      <c r="B120" s="11" t="s">
        <v>23</v>
      </c>
      <c r="C120" s="4" t="n">
        <v>2022</v>
      </c>
      <c r="D120" s="6" t="n">
        <v>324.1</v>
      </c>
      <c r="E120" s="7" t="n">
        <v>0.465</v>
      </c>
      <c r="F120" s="6" t="n">
        <v>175.7</v>
      </c>
      <c r="G120" s="8" t="n">
        <v>84.1</v>
      </c>
      <c r="H120" s="8" t="n">
        <v>83.8</v>
      </c>
      <c r="I120" s="9" t="n">
        <v>27222</v>
      </c>
      <c r="J120" s="10" t="n">
        <f aca="false">LN(D120)</f>
        <v>5.7810521101475</v>
      </c>
      <c r="K120" s="10" t="n">
        <f aca="false">LN(E120)</f>
        <v>-0.765717873394781</v>
      </c>
      <c r="L120" s="10" t="n">
        <f aca="false">LN(F120)</f>
        <v>5.16877799519305</v>
      </c>
      <c r="M120" s="10" t="n">
        <f aca="false">LN(I120)</f>
        <v>10.211780748892</v>
      </c>
    </row>
    <row r="121" customFormat="false" ht="15" hidden="false" customHeight="false" outlineLevel="0" collapsed="false">
      <c r="A121" s="12" t="n">
        <v>10</v>
      </c>
      <c r="B121" s="13" t="s">
        <v>24</v>
      </c>
      <c r="C121" s="12" t="n">
        <v>2010</v>
      </c>
      <c r="D121" s="14" t="n">
        <v>290</v>
      </c>
      <c r="E121" s="15" t="n">
        <v>0.34</v>
      </c>
      <c r="F121" s="14" t="n">
        <v>102</v>
      </c>
      <c r="G121" s="16" t="n">
        <v>71.5</v>
      </c>
      <c r="H121" s="16" t="n">
        <v>49.3</v>
      </c>
      <c r="I121" s="17" t="n">
        <v>31500</v>
      </c>
      <c r="J121" s="10" t="n">
        <f aca="false">LN(D121)</f>
        <v>5.66988092298052</v>
      </c>
      <c r="K121" s="10" t="n">
        <f aca="false">LN(E121)</f>
        <v>-1.07880966137193</v>
      </c>
      <c r="L121" s="10" t="n">
        <f aca="false">LN(F121)</f>
        <v>4.62497281328427</v>
      </c>
      <c r="M121" s="10" t="n">
        <f aca="false">LN(I121)</f>
        <v>10.3577428248137</v>
      </c>
    </row>
    <row r="122" customFormat="false" ht="15" hidden="false" customHeight="false" outlineLevel="0" collapsed="false">
      <c r="A122" s="12" t="n">
        <v>10</v>
      </c>
      <c r="B122" s="18" t="s">
        <v>24</v>
      </c>
      <c r="C122" s="12" t="n">
        <v>2011</v>
      </c>
      <c r="D122" s="14" t="n">
        <v>300.4</v>
      </c>
      <c r="E122" s="15" t="n">
        <v>0.354</v>
      </c>
      <c r="F122" s="14" t="n">
        <v>108</v>
      </c>
      <c r="G122" s="16" t="n">
        <v>72.5</v>
      </c>
      <c r="H122" s="16" t="n">
        <v>51.9</v>
      </c>
      <c r="I122" s="17" t="n">
        <v>32886</v>
      </c>
      <c r="J122" s="10" t="n">
        <f aca="false">LN(D122)</f>
        <v>5.70511491988998</v>
      </c>
      <c r="K122" s="10" t="n">
        <f aca="false">LN(E122)</f>
        <v>-1.03845836584836</v>
      </c>
      <c r="L122" s="10" t="n">
        <f aca="false">LN(F122)</f>
        <v>4.68213122712422</v>
      </c>
      <c r="M122" s="10" t="n">
        <f aca="false">LN(I122)</f>
        <v>10.4008023142742</v>
      </c>
    </row>
    <row r="123" customFormat="false" ht="15" hidden="false" customHeight="false" outlineLevel="0" collapsed="false">
      <c r="A123" s="12" t="n">
        <v>10</v>
      </c>
      <c r="B123" s="18" t="s">
        <v>24</v>
      </c>
      <c r="C123" s="12" t="n">
        <v>2012</v>
      </c>
      <c r="D123" s="14" t="n">
        <v>311.3</v>
      </c>
      <c r="E123" s="15" t="n">
        <v>0.369</v>
      </c>
      <c r="F123" s="14" t="n">
        <v>114.4</v>
      </c>
      <c r="G123" s="16" t="n">
        <v>73.5</v>
      </c>
      <c r="H123" s="16" t="n">
        <v>54.5</v>
      </c>
      <c r="I123" s="17" t="n">
        <v>34333</v>
      </c>
      <c r="J123" s="10" t="n">
        <f aca="false">LN(D123)</f>
        <v>5.74075707744756</v>
      </c>
      <c r="K123" s="10" t="n">
        <f aca="false">LN(E123)</f>
        <v>-0.99695863494161</v>
      </c>
      <c r="L123" s="10" t="n">
        <f aca="false">LN(F123)</f>
        <v>4.7397010789457</v>
      </c>
      <c r="M123" s="10" t="n">
        <f aca="false">LN(I123)</f>
        <v>10.4438622697587</v>
      </c>
    </row>
    <row r="124" customFormat="false" ht="15" hidden="false" customHeight="false" outlineLevel="0" collapsed="false">
      <c r="A124" s="12" t="n">
        <v>10</v>
      </c>
      <c r="B124" s="18" t="s">
        <v>24</v>
      </c>
      <c r="C124" s="12" t="n">
        <v>2013</v>
      </c>
      <c r="D124" s="14" t="n">
        <v>322.5</v>
      </c>
      <c r="E124" s="15" t="n">
        <v>0.385</v>
      </c>
      <c r="F124" s="14" t="n">
        <v>121.1</v>
      </c>
      <c r="G124" s="16" t="n">
        <v>74.5</v>
      </c>
      <c r="H124" s="16" t="n">
        <v>57.1</v>
      </c>
      <c r="I124" s="17" t="n">
        <v>35844</v>
      </c>
      <c r="J124" s="10" t="n">
        <f aca="false">LN(D124)</f>
        <v>5.77610313623583</v>
      </c>
      <c r="K124" s="10" t="n">
        <f aca="false">LN(E124)</f>
        <v>-0.954511944694353</v>
      </c>
      <c r="L124" s="10" t="n">
        <f aca="false">LN(F124)</f>
        <v>4.79661665055905</v>
      </c>
      <c r="M124" s="10" t="n">
        <f aca="false">LN(I124)</f>
        <v>10.4869314680041</v>
      </c>
    </row>
    <row r="125" customFormat="false" ht="15" hidden="false" customHeight="false" outlineLevel="0" collapsed="false">
      <c r="A125" s="12" t="n">
        <v>10</v>
      </c>
      <c r="B125" s="18" t="s">
        <v>24</v>
      </c>
      <c r="C125" s="12" t="n">
        <v>2014</v>
      </c>
      <c r="D125" s="14" t="n">
        <v>334.1</v>
      </c>
      <c r="E125" s="15" t="n">
        <v>0.401</v>
      </c>
      <c r="F125" s="14" t="n">
        <v>128.3</v>
      </c>
      <c r="G125" s="16" t="n">
        <v>75.5</v>
      </c>
      <c r="H125" s="16" t="n">
        <v>59.7</v>
      </c>
      <c r="I125" s="17" t="n">
        <v>37421</v>
      </c>
      <c r="J125" s="10" t="n">
        <f aca="false">LN(D125)</f>
        <v>5.81144034936271</v>
      </c>
      <c r="K125" s="10" t="n">
        <f aca="false">LN(E125)</f>
        <v>-0.913793851675568</v>
      </c>
      <c r="L125" s="10" t="n">
        <f aca="false">LN(F125)</f>
        <v>4.85437127162159</v>
      </c>
      <c r="M125" s="10" t="n">
        <f aca="false">LN(I125)</f>
        <v>10.5299873231482</v>
      </c>
    </row>
    <row r="126" customFormat="false" ht="15" hidden="false" customHeight="false" outlineLevel="0" collapsed="false">
      <c r="A126" s="12" t="n">
        <v>10</v>
      </c>
      <c r="B126" s="18" t="s">
        <v>24</v>
      </c>
      <c r="C126" s="12" t="n">
        <v>2015</v>
      </c>
      <c r="D126" s="14" t="n">
        <v>346.1</v>
      </c>
      <c r="E126" s="15" t="n">
        <v>0.418</v>
      </c>
      <c r="F126" s="14" t="n">
        <v>135.9</v>
      </c>
      <c r="G126" s="16" t="n">
        <v>76.5</v>
      </c>
      <c r="H126" s="16" t="n">
        <v>62.3</v>
      </c>
      <c r="I126" s="17" t="n">
        <v>39067</v>
      </c>
      <c r="J126" s="10" t="n">
        <f aca="false">LN(D126)</f>
        <v>5.8467277506413</v>
      </c>
      <c r="K126" s="10" t="n">
        <f aca="false">LN(E126)</f>
        <v>-0.872273846457381</v>
      </c>
      <c r="L126" s="10" t="n">
        <f aca="false">LN(F126)</f>
        <v>4.9119193211571</v>
      </c>
      <c r="M126" s="10" t="n">
        <f aca="false">LN(I126)</f>
        <v>10.5730333998437</v>
      </c>
    </row>
    <row r="127" customFormat="false" ht="15" hidden="false" customHeight="false" outlineLevel="0" collapsed="false">
      <c r="A127" s="12" t="n">
        <v>10</v>
      </c>
      <c r="B127" s="18" t="s">
        <v>24</v>
      </c>
      <c r="C127" s="12" t="n">
        <v>2016</v>
      </c>
      <c r="D127" s="14" t="n">
        <v>358.6</v>
      </c>
      <c r="E127" s="15" t="n">
        <v>0.435</v>
      </c>
      <c r="F127" s="14" t="n">
        <v>143.9</v>
      </c>
      <c r="G127" s="16" t="n">
        <v>77.5</v>
      </c>
      <c r="H127" s="16" t="n">
        <v>64.9</v>
      </c>
      <c r="I127" s="17" t="n">
        <v>40786</v>
      </c>
      <c r="J127" s="10" t="n">
        <f aca="false">LN(D127)</f>
        <v>5.88220756117103</v>
      </c>
      <c r="K127" s="10" t="n">
        <f aca="false">LN(E127)</f>
        <v>-0.832409247893453</v>
      </c>
      <c r="L127" s="10" t="n">
        <f aca="false">LN(F127)</f>
        <v>4.96911861389332</v>
      </c>
      <c r="M127" s="10" t="n">
        <f aca="false">LN(I127)</f>
        <v>10.6160941642523</v>
      </c>
    </row>
    <row r="128" customFormat="false" ht="15" hidden="false" customHeight="false" outlineLevel="0" collapsed="false">
      <c r="A128" s="12" t="n">
        <v>10</v>
      </c>
      <c r="B128" s="18" t="s">
        <v>24</v>
      </c>
      <c r="C128" s="12" t="n">
        <v>2017</v>
      </c>
      <c r="D128" s="14" t="n">
        <v>371.5</v>
      </c>
      <c r="E128" s="15" t="n">
        <v>0.453</v>
      </c>
      <c r="F128" s="14" t="n">
        <v>152.4</v>
      </c>
      <c r="G128" s="16" t="n">
        <v>78.5</v>
      </c>
      <c r="H128" s="16" t="n">
        <v>67.5</v>
      </c>
      <c r="I128" s="17" t="n">
        <v>42581</v>
      </c>
      <c r="J128" s="10" t="n">
        <f aca="false">LN(D128)</f>
        <v>5.91754886415781</v>
      </c>
      <c r="K128" s="10" t="n">
        <f aca="false">LN(E128)</f>
        <v>-0.791863153499103</v>
      </c>
      <c r="L128" s="10" t="n">
        <f aca="false">LN(F128)</f>
        <v>5.02650864325255</v>
      </c>
      <c r="M128" s="10" t="n">
        <f aca="false">LN(I128)</f>
        <v>10.659163423376</v>
      </c>
    </row>
    <row r="129" customFormat="false" ht="15" hidden="false" customHeight="false" outlineLevel="0" collapsed="false">
      <c r="A129" s="12" t="n">
        <v>10</v>
      </c>
      <c r="B129" s="18" t="s">
        <v>24</v>
      </c>
      <c r="C129" s="12" t="n">
        <v>2018</v>
      </c>
      <c r="D129" s="14" t="n">
        <v>384.8</v>
      </c>
      <c r="E129" s="15" t="n">
        <v>0.473</v>
      </c>
      <c r="F129" s="14" t="n">
        <v>161.3</v>
      </c>
      <c r="G129" s="16" t="n">
        <v>79.5</v>
      </c>
      <c r="H129" s="16" t="n">
        <v>70.1</v>
      </c>
      <c r="I129" s="17" t="n">
        <v>44454</v>
      </c>
      <c r="J129" s="10" t="n">
        <f aca="false">LN(D129)</f>
        <v>5.95272371879155</v>
      </c>
      <c r="K129" s="10" t="n">
        <f aca="false">LN(E129)</f>
        <v>-0.748659890490204</v>
      </c>
      <c r="L129" s="10" t="n">
        <f aca="false">LN(F129)</f>
        <v>5.08326598513116</v>
      </c>
      <c r="M129" s="10" t="n">
        <f aca="false">LN(I129)</f>
        <v>10.7022102256447</v>
      </c>
    </row>
    <row r="130" customFormat="false" ht="15" hidden="false" customHeight="false" outlineLevel="0" collapsed="false">
      <c r="A130" s="12" t="n">
        <v>10</v>
      </c>
      <c r="B130" s="18" t="s">
        <v>24</v>
      </c>
      <c r="C130" s="12" t="n">
        <v>2019</v>
      </c>
      <c r="D130" s="14" t="n">
        <v>398.7</v>
      </c>
      <c r="E130" s="15" t="n">
        <v>0.492</v>
      </c>
      <c r="F130" s="14" t="n">
        <v>170.9</v>
      </c>
      <c r="G130" s="16" t="n">
        <v>80.5</v>
      </c>
      <c r="H130" s="16" t="n">
        <v>72.7</v>
      </c>
      <c r="I130" s="17" t="n">
        <v>46410</v>
      </c>
      <c r="J130" s="10" t="n">
        <f aca="false">LN(D130)</f>
        <v>5.98820925438731</v>
      </c>
      <c r="K130" s="10" t="n">
        <f aca="false">LN(E130)</f>
        <v>-0.709276562489829</v>
      </c>
      <c r="L130" s="10" t="n">
        <f aca="false">LN(F130)</f>
        <v>5.14107859012155</v>
      </c>
      <c r="M130" s="10" t="n">
        <f aca="false">LN(I130)</f>
        <v>10.7452702322352</v>
      </c>
    </row>
    <row r="131" customFormat="false" ht="15" hidden="false" customHeight="false" outlineLevel="0" collapsed="false">
      <c r="A131" s="12" t="n">
        <v>10</v>
      </c>
      <c r="B131" s="18" t="s">
        <v>24</v>
      </c>
      <c r="C131" s="12" t="n">
        <v>2020</v>
      </c>
      <c r="D131" s="14" t="n">
        <v>413</v>
      </c>
      <c r="E131" s="15" t="n">
        <v>0.513</v>
      </c>
      <c r="F131" s="14" t="n">
        <v>181</v>
      </c>
      <c r="G131" s="16" t="n">
        <v>81.5</v>
      </c>
      <c r="H131" s="16" t="n">
        <v>75.3</v>
      </c>
      <c r="I131" s="17" t="n">
        <v>48452</v>
      </c>
      <c r="J131" s="10" t="n">
        <f aca="false">LN(D131)</f>
        <v>6.02344759296103</v>
      </c>
      <c r="K131" s="10" t="n">
        <f aca="false">LN(E131)</f>
        <v>-0.667479433811368</v>
      </c>
      <c r="L131" s="10" t="n">
        <f aca="false">LN(F131)</f>
        <v>5.19849703126583</v>
      </c>
      <c r="M131" s="10" t="n">
        <f aca="false">LN(I131)</f>
        <v>10.7883288961367</v>
      </c>
    </row>
    <row r="132" customFormat="false" ht="15" hidden="false" customHeight="false" outlineLevel="0" collapsed="false">
      <c r="A132" s="12" t="n">
        <v>10</v>
      </c>
      <c r="B132" s="18" t="s">
        <v>24</v>
      </c>
      <c r="C132" s="12" t="n">
        <v>2021</v>
      </c>
      <c r="D132" s="14" t="n">
        <v>427.9</v>
      </c>
      <c r="E132" s="15" t="n">
        <v>0.535</v>
      </c>
      <c r="F132" s="14" t="n">
        <v>191.6</v>
      </c>
      <c r="G132" s="16" t="n">
        <v>82.5</v>
      </c>
      <c r="H132" s="16" t="n">
        <v>77.9</v>
      </c>
      <c r="I132" s="17" t="n">
        <v>50584</v>
      </c>
      <c r="J132" s="10" t="n">
        <f aca="false">LN(D132)</f>
        <v>6.05888952342277</v>
      </c>
      <c r="K132" s="10" t="n">
        <f aca="false">LN(E132)</f>
        <v>-0.62548853208613</v>
      </c>
      <c r="L132" s="10" t="n">
        <f aca="false">LN(F132)</f>
        <v>5.25540986553676</v>
      </c>
      <c r="M132" s="10" t="n">
        <f aca="false">LN(I132)</f>
        <v>10.8313905997385</v>
      </c>
    </row>
    <row r="133" customFormat="false" ht="15" hidden="false" customHeight="false" outlineLevel="0" collapsed="false">
      <c r="A133" s="12" t="n">
        <v>10</v>
      </c>
      <c r="B133" s="18" t="s">
        <v>24</v>
      </c>
      <c r="C133" s="12" t="n">
        <v>2022</v>
      </c>
      <c r="D133" s="14" t="n">
        <v>443.3</v>
      </c>
      <c r="E133" s="15" t="n">
        <v>0.557</v>
      </c>
      <c r="F133" s="14" t="n">
        <v>202.9</v>
      </c>
      <c r="G133" s="16" t="n">
        <v>83.5</v>
      </c>
      <c r="H133" s="16" t="n">
        <v>80.5</v>
      </c>
      <c r="I133" s="17" t="n">
        <v>52810</v>
      </c>
      <c r="J133" s="10" t="n">
        <f aca="false">LN(D133)</f>
        <v>6.09424674175101</v>
      </c>
      <c r="K133" s="10" t="n">
        <f aca="false">LN(E133)</f>
        <v>-0.585190039054853</v>
      </c>
      <c r="L133" s="10" t="n">
        <f aca="false">LN(F133)</f>
        <v>5.31271324683177</v>
      </c>
      <c r="M133" s="10" t="n">
        <f aca="false">LN(I133)</f>
        <v>10.874455845701</v>
      </c>
    </row>
    <row r="134" customFormat="false" ht="15" hidden="false" customHeight="false" outlineLevel="0" collapsed="false">
      <c r="A134" s="4" t="n">
        <v>11</v>
      </c>
      <c r="B134" s="5" t="s">
        <v>25</v>
      </c>
      <c r="C134" s="4" t="n">
        <v>2010</v>
      </c>
      <c r="D134" s="6" t="n">
        <v>200</v>
      </c>
      <c r="E134" s="7" t="n">
        <v>0.19</v>
      </c>
      <c r="F134" s="6" t="n">
        <v>68</v>
      </c>
      <c r="G134" s="8" t="n">
        <v>67.1</v>
      </c>
      <c r="H134" s="8" t="n">
        <v>36.8</v>
      </c>
      <c r="I134" s="9" t="n">
        <v>8900</v>
      </c>
      <c r="J134" s="10" t="n">
        <f aca="false">LN(D134)</f>
        <v>5.29831736654804</v>
      </c>
      <c r="K134" s="10" t="n">
        <f aca="false">LN(E134)</f>
        <v>-1.66073120682165</v>
      </c>
      <c r="L134" s="10" t="n">
        <f aca="false">LN(F134)</f>
        <v>4.21950770517611</v>
      </c>
      <c r="M134" s="10" t="n">
        <f aca="false">LN(I134)</f>
        <v>9.09380655572023</v>
      </c>
    </row>
    <row r="135" customFormat="false" ht="15" hidden="false" customHeight="false" outlineLevel="0" collapsed="false">
      <c r="A135" s="4" t="n">
        <v>11</v>
      </c>
      <c r="B135" s="11" t="s">
        <v>25</v>
      </c>
      <c r="C135" s="4" t="n">
        <v>2011</v>
      </c>
      <c r="D135" s="6" t="n">
        <v>205.4</v>
      </c>
      <c r="E135" s="7" t="n">
        <v>0.2</v>
      </c>
      <c r="F135" s="6" t="n">
        <v>73</v>
      </c>
      <c r="G135" s="8" t="n">
        <v>68.4</v>
      </c>
      <c r="H135" s="8" t="n">
        <v>40.4</v>
      </c>
      <c r="I135" s="9" t="n">
        <v>9229</v>
      </c>
      <c r="J135" s="10" t="n">
        <f aca="false">LN(D135)</f>
        <v>5.32495929749446</v>
      </c>
      <c r="K135" s="10" t="n">
        <f aca="false">LN(E135)</f>
        <v>-1.6094379124341</v>
      </c>
      <c r="L135" s="10" t="n">
        <f aca="false">LN(F135)</f>
        <v>4.29045944114839</v>
      </c>
      <c r="M135" s="10" t="n">
        <f aca="false">LN(I135)</f>
        <v>9.13010597926558</v>
      </c>
    </row>
    <row r="136" customFormat="false" ht="15" hidden="false" customHeight="false" outlineLevel="0" collapsed="false">
      <c r="A136" s="4" t="n">
        <v>11</v>
      </c>
      <c r="B136" s="11" t="s">
        <v>25</v>
      </c>
      <c r="C136" s="4" t="n">
        <v>2012</v>
      </c>
      <c r="D136" s="6" t="n">
        <v>210.9</v>
      </c>
      <c r="E136" s="7" t="n">
        <v>0.211</v>
      </c>
      <c r="F136" s="6" t="n">
        <v>78.3</v>
      </c>
      <c r="G136" s="8" t="n">
        <v>69.7</v>
      </c>
      <c r="H136" s="8" t="n">
        <v>44</v>
      </c>
      <c r="I136" s="9" t="n">
        <v>9571</v>
      </c>
      <c r="J136" s="10" t="n">
        <f aca="false">LN(D136)</f>
        <v>5.35138408748473</v>
      </c>
      <c r="K136" s="10" t="n">
        <f aca="false">LN(E136)</f>
        <v>-1.55589714550607</v>
      </c>
      <c r="L136" s="10" t="n">
        <f aca="false">LN(F136)</f>
        <v>4.36054760299676</v>
      </c>
      <c r="M136" s="10" t="n">
        <f aca="false">LN(I136)</f>
        <v>9.16649297219591</v>
      </c>
    </row>
    <row r="137" customFormat="false" ht="15" hidden="false" customHeight="false" outlineLevel="0" collapsed="false">
      <c r="A137" s="4" t="n">
        <v>11</v>
      </c>
      <c r="B137" s="11" t="s">
        <v>25</v>
      </c>
      <c r="C137" s="4" t="n">
        <v>2013</v>
      </c>
      <c r="D137" s="6" t="n">
        <v>216.6</v>
      </c>
      <c r="E137" s="7" t="n">
        <v>0.222</v>
      </c>
      <c r="F137" s="6" t="n">
        <v>84</v>
      </c>
      <c r="G137" s="8" t="n">
        <v>71</v>
      </c>
      <c r="H137" s="8" t="n">
        <v>47.6</v>
      </c>
      <c r="I137" s="9" t="n">
        <v>9925</v>
      </c>
      <c r="J137" s="10" t="n">
        <f aca="false">LN(D137)</f>
        <v>5.37805233456689</v>
      </c>
      <c r="K137" s="10" t="n">
        <f aca="false">LN(E137)</f>
        <v>-1.50507789710986</v>
      </c>
      <c r="L137" s="10" t="n">
        <f aca="false">LN(F137)</f>
        <v>4.43081679884331</v>
      </c>
      <c r="M137" s="10" t="n">
        <f aca="false">LN(I137)</f>
        <v>9.20281210555539</v>
      </c>
    </row>
    <row r="138" customFormat="false" ht="15" hidden="false" customHeight="false" outlineLevel="0" collapsed="false">
      <c r="A138" s="4" t="n">
        <v>11</v>
      </c>
      <c r="B138" s="11" t="s">
        <v>25</v>
      </c>
      <c r="C138" s="4" t="n">
        <v>2014</v>
      </c>
      <c r="D138" s="6" t="n">
        <v>222.5</v>
      </c>
      <c r="E138" s="7" t="n">
        <v>0.234</v>
      </c>
      <c r="F138" s="6" t="n">
        <v>90.1</v>
      </c>
      <c r="G138" s="8" t="n">
        <v>72.3</v>
      </c>
      <c r="H138" s="8" t="n">
        <v>51.2</v>
      </c>
      <c r="I138" s="9" t="n">
        <v>10292</v>
      </c>
      <c r="J138" s="10" t="n">
        <f aca="false">LN(D138)</f>
        <v>5.4049271016063</v>
      </c>
      <c r="K138" s="10" t="n">
        <f aca="false">LN(E138)</f>
        <v>-1.45243416362444</v>
      </c>
      <c r="L138" s="10" t="n">
        <f aca="false">LN(F138)</f>
        <v>4.50092016461429</v>
      </c>
      <c r="M138" s="10" t="n">
        <f aca="false">LN(I138)</f>
        <v>9.23912217340163</v>
      </c>
    </row>
    <row r="139" customFormat="false" ht="15" hidden="false" customHeight="false" outlineLevel="0" collapsed="false">
      <c r="A139" s="4" t="n">
        <v>11</v>
      </c>
      <c r="B139" s="11" t="s">
        <v>25</v>
      </c>
      <c r="C139" s="4" t="n">
        <v>2015</v>
      </c>
      <c r="D139" s="6" t="n">
        <v>228.5</v>
      </c>
      <c r="E139" s="7" t="n">
        <v>0.247</v>
      </c>
      <c r="F139" s="6" t="n">
        <v>96.7</v>
      </c>
      <c r="G139" s="8" t="n">
        <v>73.6</v>
      </c>
      <c r="H139" s="8" t="n">
        <v>54.8</v>
      </c>
      <c r="I139" s="9" t="n">
        <v>10673</v>
      </c>
      <c r="J139" s="10" t="n">
        <f aca="false">LN(D139)</f>
        <v>5.43153621033426</v>
      </c>
      <c r="K139" s="10" t="n">
        <f aca="false">LN(E139)</f>
        <v>-1.39836694235416</v>
      </c>
      <c r="L139" s="10" t="n">
        <f aca="false">LN(F139)</f>
        <v>4.57161340245925</v>
      </c>
      <c r="M139" s="10" t="n">
        <f aca="false">LN(I139)</f>
        <v>9.27547246691396</v>
      </c>
    </row>
    <row r="140" customFormat="false" ht="15" hidden="false" customHeight="false" outlineLevel="0" collapsed="false">
      <c r="A140" s="4" t="n">
        <v>11</v>
      </c>
      <c r="B140" s="11" t="s">
        <v>25</v>
      </c>
      <c r="C140" s="4" t="n">
        <v>2016</v>
      </c>
      <c r="D140" s="6" t="n">
        <v>234.7</v>
      </c>
      <c r="E140" s="7" t="n">
        <v>0.26</v>
      </c>
      <c r="F140" s="6" t="n">
        <v>103.8</v>
      </c>
      <c r="G140" s="8" t="n">
        <v>74.9</v>
      </c>
      <c r="H140" s="8" t="n">
        <v>58.4</v>
      </c>
      <c r="I140" s="9" t="n">
        <v>11068</v>
      </c>
      <c r="J140" s="10" t="n">
        <f aca="false">LN(D140)</f>
        <v>5.45830810285698</v>
      </c>
      <c r="K140" s="10" t="n">
        <f aca="false">LN(E140)</f>
        <v>-1.34707364796661</v>
      </c>
      <c r="L140" s="10" t="n">
        <f aca="false">LN(F140)</f>
        <v>4.64246597073179</v>
      </c>
      <c r="M140" s="10" t="n">
        <f aca="false">LN(I140)</f>
        <v>9.31181334090682</v>
      </c>
    </row>
    <row r="141" customFormat="false" ht="15" hidden="false" customHeight="false" outlineLevel="0" collapsed="false">
      <c r="A141" s="4" t="n">
        <v>11</v>
      </c>
      <c r="B141" s="11" t="s">
        <v>25</v>
      </c>
      <c r="C141" s="4" t="n">
        <v>2017</v>
      </c>
      <c r="D141" s="6" t="n">
        <v>241</v>
      </c>
      <c r="E141" s="7" t="n">
        <v>0.275</v>
      </c>
      <c r="F141" s="6" t="n">
        <v>111.4</v>
      </c>
      <c r="G141" s="8" t="n">
        <v>76.2</v>
      </c>
      <c r="H141" s="8" t="n">
        <v>62</v>
      </c>
      <c r="I141" s="9" t="n">
        <v>11477</v>
      </c>
      <c r="J141" s="10" t="n">
        <f aca="false">LN(D141)</f>
        <v>5.48479693349066</v>
      </c>
      <c r="K141" s="10" t="n">
        <f aca="false">LN(E141)</f>
        <v>-1.29098418131557</v>
      </c>
      <c r="L141" s="10" t="n">
        <f aca="false">LN(F141)</f>
        <v>4.71312732749318</v>
      </c>
      <c r="M141" s="10" t="n">
        <f aca="false">LN(I141)</f>
        <v>9.34810031168067</v>
      </c>
    </row>
    <row r="142" customFormat="false" ht="15" hidden="false" customHeight="false" outlineLevel="0" collapsed="false">
      <c r="A142" s="4" t="n">
        <v>11</v>
      </c>
      <c r="B142" s="11" t="s">
        <v>25</v>
      </c>
      <c r="C142" s="4" t="n">
        <v>2018</v>
      </c>
      <c r="D142" s="6" t="n">
        <v>247.5</v>
      </c>
      <c r="E142" s="7" t="n">
        <v>0.289</v>
      </c>
      <c r="F142" s="6" t="n">
        <v>119.5</v>
      </c>
      <c r="G142" s="8" t="n">
        <v>77.5</v>
      </c>
      <c r="H142" s="8" t="n">
        <v>65.6</v>
      </c>
      <c r="I142" s="9" t="n">
        <v>11902</v>
      </c>
      <c r="J142" s="10" t="n">
        <f aca="false">LN(D142)</f>
        <v>5.51141058200875</v>
      </c>
      <c r="K142" s="10" t="n">
        <f aca="false">LN(E142)</f>
        <v>-1.24132859086971</v>
      </c>
      <c r="L142" s="10" t="n">
        <f aca="false">LN(F142)</f>
        <v>4.78331637137157</v>
      </c>
      <c r="M142" s="10" t="n">
        <f aca="false">LN(I142)</f>
        <v>9.3844617322048</v>
      </c>
    </row>
    <row r="143" customFormat="false" ht="15" hidden="false" customHeight="false" outlineLevel="0" collapsed="false">
      <c r="A143" s="4" t="n">
        <v>11</v>
      </c>
      <c r="B143" s="11" t="s">
        <v>25</v>
      </c>
      <c r="C143" s="4" t="n">
        <v>2019</v>
      </c>
      <c r="D143" s="6" t="n">
        <v>254.2</v>
      </c>
      <c r="E143" s="7" t="n">
        <v>0.305</v>
      </c>
      <c r="F143" s="6" t="n">
        <v>128.2</v>
      </c>
      <c r="G143" s="8" t="n">
        <v>78.8</v>
      </c>
      <c r="H143" s="8" t="n">
        <v>69.2</v>
      </c>
      <c r="I143" s="9" t="n">
        <v>12342</v>
      </c>
      <c r="J143" s="10" t="n">
        <f aca="false">LN(D143)</f>
        <v>5.53812135875535</v>
      </c>
      <c r="K143" s="10" t="n">
        <f aca="false">LN(E143)</f>
        <v>-1.18744350237473</v>
      </c>
      <c r="L143" s="10" t="n">
        <f aca="false">LN(F143)</f>
        <v>4.85359154448657</v>
      </c>
      <c r="M143" s="10" t="n">
        <f aca="false">LN(I143)</f>
        <v>9.42076335888101</v>
      </c>
    </row>
    <row r="144" customFormat="false" ht="15" hidden="false" customHeight="false" outlineLevel="0" collapsed="false">
      <c r="A144" s="4" t="n">
        <v>11</v>
      </c>
      <c r="B144" s="11" t="s">
        <v>25</v>
      </c>
      <c r="C144" s="4" t="n">
        <v>2020</v>
      </c>
      <c r="D144" s="6" t="n">
        <v>261.1</v>
      </c>
      <c r="E144" s="7" t="n">
        <v>0.321</v>
      </c>
      <c r="F144" s="6" t="n">
        <v>137.6</v>
      </c>
      <c r="G144" s="8" t="n">
        <v>80.1</v>
      </c>
      <c r="H144" s="8" t="n">
        <v>72.8</v>
      </c>
      <c r="I144" s="9" t="n">
        <v>12799</v>
      </c>
      <c r="J144" s="10" t="n">
        <f aca="false">LN(D144)</f>
        <v>5.56490347570508</v>
      </c>
      <c r="K144" s="10" t="n">
        <f aca="false">LN(E144)</f>
        <v>-1.13631415585212</v>
      </c>
      <c r="L144" s="10" t="n">
        <f aca="false">LN(F144)</f>
        <v>4.92435092549924</v>
      </c>
      <c r="M144" s="10" t="n">
        <f aca="false">LN(I144)</f>
        <v>9.45712232185579</v>
      </c>
    </row>
    <row r="145" customFormat="false" ht="15" hidden="false" customHeight="false" outlineLevel="0" collapsed="false">
      <c r="A145" s="4" t="n">
        <v>11</v>
      </c>
      <c r="B145" s="11" t="s">
        <v>25</v>
      </c>
      <c r="C145" s="4" t="n">
        <v>2021</v>
      </c>
      <c r="D145" s="6" t="n">
        <v>268.1</v>
      </c>
      <c r="E145" s="7" t="n">
        <v>0.339</v>
      </c>
      <c r="F145" s="6" t="n">
        <v>147.6</v>
      </c>
      <c r="G145" s="8" t="n">
        <v>81.4</v>
      </c>
      <c r="H145" s="8" t="n">
        <v>76.4</v>
      </c>
      <c r="I145" s="9" t="n">
        <v>13273</v>
      </c>
      <c r="J145" s="10" t="n">
        <f aca="false">LN(D145)</f>
        <v>5.59136004524191</v>
      </c>
      <c r="K145" s="10" t="n">
        <f aca="false">LN(E145)</f>
        <v>-1.08175517160169</v>
      </c>
      <c r="L145" s="10" t="n">
        <f aca="false">LN(F145)</f>
        <v>4.99450591216637</v>
      </c>
      <c r="M145" s="10" t="n">
        <f aca="false">LN(I145)</f>
        <v>9.4934871756262</v>
      </c>
    </row>
    <row r="146" customFormat="false" ht="15" hidden="false" customHeight="false" outlineLevel="0" collapsed="false">
      <c r="A146" s="4" t="n">
        <v>11</v>
      </c>
      <c r="B146" s="11" t="s">
        <v>25</v>
      </c>
      <c r="C146" s="4" t="n">
        <v>2022</v>
      </c>
      <c r="D146" s="6" t="n">
        <v>275.3</v>
      </c>
      <c r="E146" s="7" t="n">
        <v>0.357</v>
      </c>
      <c r="F146" s="6" t="n">
        <v>158.4</v>
      </c>
      <c r="G146" s="8" t="n">
        <v>82.7</v>
      </c>
      <c r="H146" s="8" t="n">
        <v>80</v>
      </c>
      <c r="I146" s="9" t="n">
        <v>13764</v>
      </c>
      <c r="J146" s="10" t="n">
        <f aca="false">LN(D146)</f>
        <v>5.61786141214856</v>
      </c>
      <c r="K146" s="10" t="n">
        <f aca="false">LN(E146)</f>
        <v>-1.0300194972025</v>
      </c>
      <c r="L146" s="10" t="n">
        <f aca="false">LN(F146)</f>
        <v>5.06512347938033</v>
      </c>
      <c r="M146" s="10" t="n">
        <f aca="false">LN(I146)</f>
        <v>9.52981176691737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28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19" t="s">
        <v>28</v>
      </c>
      <c r="B3" s="19" t="s">
        <v>29</v>
      </c>
      <c r="C3" s="19" t="s">
        <v>30</v>
      </c>
      <c r="D3" s="19" t="s">
        <v>31</v>
      </c>
      <c r="E3" s="19" t="s">
        <v>32</v>
      </c>
      <c r="F3" s="19" t="s">
        <v>33</v>
      </c>
      <c r="G3" s="19" t="s">
        <v>34</v>
      </c>
    </row>
    <row r="4" customFormat="false" ht="79.5" hidden="false" customHeight="true" outlineLevel="0" collapsed="false">
      <c r="A4" s="20" t="s">
        <v>35</v>
      </c>
      <c r="B4" s="21" t="s">
        <v>36</v>
      </c>
      <c r="C4" s="20" t="s">
        <v>37</v>
      </c>
      <c r="D4" s="20" t="s">
        <v>38</v>
      </c>
      <c r="E4" s="20" t="s">
        <v>39</v>
      </c>
      <c r="F4" s="20" t="s">
        <v>40</v>
      </c>
      <c r="G4" s="20" t="s">
        <v>41</v>
      </c>
    </row>
    <row r="5" customFormat="false" ht="79.5" hidden="false" customHeight="true" outlineLevel="0" collapsed="false">
      <c r="A5" s="22" t="s">
        <v>42</v>
      </c>
      <c r="B5" s="23" t="s">
        <v>43</v>
      </c>
      <c r="C5" s="22" t="s">
        <v>44</v>
      </c>
      <c r="D5" s="22" t="s">
        <v>45</v>
      </c>
      <c r="E5" s="22" t="s">
        <v>46</v>
      </c>
      <c r="F5" s="22" t="s">
        <v>47</v>
      </c>
      <c r="G5" s="22" t="s">
        <v>48</v>
      </c>
    </row>
    <row r="6" customFormat="false" ht="79.5" hidden="false" customHeight="true" outlineLevel="0" collapsed="false">
      <c r="A6" s="20" t="s">
        <v>49</v>
      </c>
      <c r="B6" s="21" t="s">
        <v>50</v>
      </c>
      <c r="C6" s="20" t="s">
        <v>51</v>
      </c>
      <c r="D6" s="20" t="s">
        <v>52</v>
      </c>
      <c r="E6" s="20" t="s">
        <v>53</v>
      </c>
      <c r="F6" s="20" t="s">
        <v>54</v>
      </c>
      <c r="G6" s="20" t="s">
        <v>55</v>
      </c>
    </row>
    <row r="7" customFormat="false" ht="79.5" hidden="false" customHeight="true" outlineLevel="0" collapsed="false">
      <c r="A7" s="22" t="s">
        <v>56</v>
      </c>
      <c r="B7" s="23" t="s">
        <v>57</v>
      </c>
      <c r="C7" s="22" t="s">
        <v>58</v>
      </c>
      <c r="D7" s="22" t="s">
        <v>59</v>
      </c>
      <c r="E7" s="22" t="s">
        <v>60</v>
      </c>
      <c r="F7" s="22" t="s">
        <v>61</v>
      </c>
      <c r="G7" s="22" t="s">
        <v>62</v>
      </c>
    </row>
    <row r="8" customFormat="false" ht="79.5" hidden="false" customHeight="true" outlineLevel="0" collapsed="false">
      <c r="A8" s="20" t="s">
        <v>63</v>
      </c>
      <c r="B8" s="21" t="s">
        <v>64</v>
      </c>
      <c r="C8" s="20" t="s">
        <v>65</v>
      </c>
      <c r="D8" s="20" t="s">
        <v>66</v>
      </c>
      <c r="E8" s="20" t="s">
        <v>67</v>
      </c>
      <c r="F8" s="20" t="s">
        <v>68</v>
      </c>
      <c r="G8" s="20" t="s">
        <v>69</v>
      </c>
    </row>
    <row r="9" customFormat="false" ht="79.5" hidden="false" customHeight="true" outlineLevel="0" collapsed="false">
      <c r="A9" s="22" t="s">
        <v>70</v>
      </c>
      <c r="B9" s="23" t="s">
        <v>71</v>
      </c>
      <c r="C9" s="22" t="s">
        <v>72</v>
      </c>
      <c r="D9" s="22" t="s">
        <v>73</v>
      </c>
      <c r="E9" s="22" t="s">
        <v>74</v>
      </c>
      <c r="F9" s="22" t="s">
        <v>75</v>
      </c>
      <c r="G9" s="22" t="s">
        <v>76</v>
      </c>
    </row>
    <row r="11" customFormat="false" ht="21.75" hidden="false" customHeight="true" outlineLevel="0" collapsed="false">
      <c r="A11" s="24" t="s">
        <v>77</v>
      </c>
      <c r="B11" s="24"/>
      <c r="C11" s="24"/>
      <c r="D11" s="24"/>
      <c r="E11" s="24"/>
      <c r="F11" s="24"/>
      <c r="G11" s="24"/>
    </row>
    <row r="12" customFormat="false" ht="60" hidden="false" customHeight="true" outlineLevel="0" collapsed="false">
      <c r="A12" s="25" t="s">
        <v>78</v>
      </c>
      <c r="B12" s="25"/>
      <c r="C12" s="26" t="s">
        <v>79</v>
      </c>
      <c r="D12" s="26"/>
      <c r="E12" s="26"/>
      <c r="F12" s="26"/>
      <c r="G12" s="26"/>
    </row>
    <row r="13" customFormat="false" ht="60" hidden="false" customHeight="true" outlineLevel="0" collapsed="false">
      <c r="A13" s="25" t="s">
        <v>80</v>
      </c>
      <c r="B13" s="25"/>
      <c r="C13" s="26" t="s">
        <v>81</v>
      </c>
      <c r="D13" s="26"/>
      <c r="E13" s="26"/>
      <c r="F13" s="26"/>
      <c r="G13" s="26"/>
    </row>
    <row r="14" customFormat="false" ht="60" hidden="false" customHeight="true" outlineLevel="0" collapsed="false">
      <c r="A14" s="25" t="s">
        <v>82</v>
      </c>
      <c r="B14" s="25"/>
      <c r="C14" s="26" t="s">
        <v>83</v>
      </c>
      <c r="D14" s="26"/>
      <c r="E14" s="26"/>
      <c r="F14" s="26"/>
      <c r="G14" s="26"/>
    </row>
    <row r="15" customFormat="false" ht="60" hidden="false" customHeight="true" outlineLevel="0" collapsed="false">
      <c r="A15" s="25" t="s">
        <v>84</v>
      </c>
      <c r="B15" s="25"/>
      <c r="C15" s="26" t="s">
        <v>85</v>
      </c>
      <c r="D15" s="26"/>
      <c r="E15" s="26"/>
      <c r="F15" s="26"/>
      <c r="G15" s="26"/>
    </row>
    <row r="16" customFormat="false" ht="60" hidden="false" customHeight="true" outlineLevel="0" collapsed="false">
      <c r="A16" s="25" t="s">
        <v>86</v>
      </c>
      <c r="B16" s="25"/>
      <c r="C16" s="26" t="s">
        <v>87</v>
      </c>
      <c r="D16" s="26"/>
      <c r="E16" s="26"/>
      <c r="F16" s="26"/>
      <c r="G16" s="26"/>
    </row>
    <row r="17" customFormat="false" ht="60" hidden="false" customHeight="true" outlineLevel="0" collapsed="false">
      <c r="A17" s="25" t="s">
        <v>88</v>
      </c>
      <c r="B17" s="25"/>
      <c r="C17" s="26" t="s">
        <v>89</v>
      </c>
      <c r="D17" s="26"/>
      <c r="E17" s="26"/>
      <c r="F17" s="26"/>
      <c r="G17" s="26"/>
    </row>
    <row r="18" customFormat="false" ht="60" hidden="false" customHeight="true" outlineLevel="0" collapsed="false">
      <c r="A18" s="25" t="s">
        <v>90</v>
      </c>
      <c r="B18" s="25"/>
      <c r="C18" s="26" t="s">
        <v>91</v>
      </c>
      <c r="D18" s="26"/>
      <c r="E18" s="26"/>
      <c r="F18" s="26"/>
      <c r="G18" s="26"/>
    </row>
    <row r="19" customFormat="false" ht="60" hidden="false" customHeight="true" outlineLevel="0" collapsed="false">
      <c r="A19" s="25" t="s">
        <v>92</v>
      </c>
      <c r="B19" s="25"/>
      <c r="C19" s="26" t="s">
        <v>93</v>
      </c>
      <c r="D19" s="26"/>
      <c r="E19" s="26"/>
      <c r="F19" s="26"/>
      <c r="G19" s="26"/>
    </row>
    <row r="20" customFormat="false" ht="60" hidden="false" customHeight="true" outlineLevel="0" collapsed="false">
      <c r="A20" s="25" t="s">
        <v>94</v>
      </c>
      <c r="B20" s="25"/>
      <c r="C20" s="26" t="s">
        <v>95</v>
      </c>
      <c r="D20" s="26"/>
      <c r="E20" s="26"/>
      <c r="F20" s="26"/>
      <c r="G20" s="26"/>
    </row>
  </sheetData>
  <mergeCells count="21">
    <mergeCell ref="A1:G1"/>
    <mergeCell ref="A2:G2"/>
    <mergeCell ref="A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8" min="8" style="0" width="26"/>
  </cols>
  <sheetData>
    <row r="1" customFormat="false" ht="25.5" hidden="false" customHeight="true" outlineLevel="0" collapsed="false">
      <c r="A1" s="27" t="s">
        <v>96</v>
      </c>
      <c r="B1" s="27"/>
      <c r="C1" s="27"/>
      <c r="D1" s="27"/>
      <c r="E1" s="27"/>
      <c r="F1" s="27"/>
      <c r="G1" s="27"/>
      <c r="H1" s="27"/>
    </row>
    <row r="2" customFormat="false" ht="15.75" hidden="false" customHeight="true" outlineLevel="0" collapsed="false">
      <c r="A2" s="28" t="s">
        <v>97</v>
      </c>
      <c r="B2" s="28"/>
      <c r="C2" s="28"/>
      <c r="D2" s="28"/>
      <c r="E2" s="28"/>
      <c r="F2" s="28"/>
      <c r="G2" s="28"/>
      <c r="H2" s="28"/>
    </row>
    <row r="3" customFormat="false" ht="30" hidden="false" customHeight="true" outlineLevel="0" collapsed="false">
      <c r="A3" s="29" t="s">
        <v>28</v>
      </c>
      <c r="B3" s="29" t="s">
        <v>29</v>
      </c>
      <c r="C3" s="29" t="s">
        <v>98</v>
      </c>
      <c r="D3" s="29" t="s">
        <v>99</v>
      </c>
      <c r="E3" s="29" t="s">
        <v>100</v>
      </c>
      <c r="F3" s="29" t="s">
        <v>101</v>
      </c>
      <c r="G3" s="29" t="s">
        <v>102</v>
      </c>
      <c r="H3" s="29" t="s">
        <v>103</v>
      </c>
    </row>
    <row r="4" customFormat="false" ht="21.75" hidden="false" customHeight="true" outlineLevel="0" collapsed="false">
      <c r="A4" s="30" t="s">
        <v>104</v>
      </c>
      <c r="B4" s="31" t="s">
        <v>105</v>
      </c>
      <c r="C4" s="32" t="n">
        <f aca="false">MIN(BASE_DATOS!D4:D146)</f>
        <v>195</v>
      </c>
      <c r="D4" s="32" t="n">
        <f aca="false">MAX(BASE_DATOS!D4:D146)</f>
        <v>852</v>
      </c>
      <c r="E4" s="32" t="n">
        <f aca="false">AVERAGE(BASE_DATOS!D4:D146)</f>
        <v>362.029370629371</v>
      </c>
      <c r="F4" s="32" t="n">
        <f aca="false">MEDIAN(BASE_DATOS!D4:D146)</f>
        <v>310</v>
      </c>
      <c r="G4" s="32" t="n">
        <f aca="false">STDEV(BASE_DATOS!D4:D146)</f>
        <v>152.407171854541</v>
      </c>
      <c r="H4" s="33" t="s">
        <v>106</v>
      </c>
    </row>
    <row r="5" customFormat="false" ht="21.75" hidden="false" customHeight="true" outlineLevel="0" collapsed="false">
      <c r="A5" s="34" t="s">
        <v>107</v>
      </c>
      <c r="B5" s="11" t="s">
        <v>108</v>
      </c>
      <c r="C5" s="7" t="n">
        <f aca="false">MIN(BASE_DATOS!E4:E146)</f>
        <v>0.18</v>
      </c>
      <c r="D5" s="7" t="n">
        <f aca="false">MAX(BASE_DATOS!E4:E146)</f>
        <v>1.283</v>
      </c>
      <c r="E5" s="7" t="n">
        <f aca="false">AVERAGE(BASE_DATOS!E4:E146)</f>
        <v>0.495622377622378</v>
      </c>
      <c r="F5" s="7" t="n">
        <f aca="false">MEDIAN(BASE_DATOS!E4:E146)</f>
        <v>0.418</v>
      </c>
      <c r="G5" s="7" t="n">
        <f aca="false">STDEV(BASE_DATOS!E4:E146)</f>
        <v>0.261504175610855</v>
      </c>
      <c r="H5" s="35" t="s">
        <v>109</v>
      </c>
    </row>
    <row r="6" customFormat="false" ht="21.75" hidden="false" customHeight="true" outlineLevel="0" collapsed="false">
      <c r="A6" s="30" t="s">
        <v>110</v>
      </c>
      <c r="B6" s="31" t="s">
        <v>111</v>
      </c>
      <c r="C6" s="32" t="n">
        <f aca="false">MIN(BASE_DATOS!F4:F146)</f>
        <v>65</v>
      </c>
      <c r="D6" s="32" t="n">
        <f aca="false">MAX(BASE_DATOS!F4:F146)</f>
        <v>336.1</v>
      </c>
      <c r="E6" s="32" t="n">
        <f aca="false">AVERAGE(BASE_DATOS!F4:F146)</f>
        <v>148.993006993007</v>
      </c>
      <c r="F6" s="32" t="n">
        <f aca="false">MEDIAN(BASE_DATOS!F4:F146)</f>
        <v>137.1</v>
      </c>
      <c r="G6" s="32" t="n">
        <f aca="false">STDEV(BASE_DATOS!F4:F146)</f>
        <v>57.3505610448749</v>
      </c>
      <c r="H6" s="33" t="s">
        <v>112</v>
      </c>
    </row>
    <row r="7" customFormat="false" ht="21.75" hidden="false" customHeight="true" outlineLevel="0" collapsed="false">
      <c r="A7" s="34" t="s">
        <v>113</v>
      </c>
      <c r="B7" s="11" t="s">
        <v>114</v>
      </c>
      <c r="C7" s="8" t="n">
        <f aca="false">MIN(BASE_DATOS!G4:G146)</f>
        <v>66.2</v>
      </c>
      <c r="D7" s="8" t="n">
        <f aca="false">MAX(BASE_DATOS!G4:G146)</f>
        <v>94.8</v>
      </c>
      <c r="E7" s="8" t="n">
        <f aca="false">AVERAGE(BASE_DATOS!G4:G146)</f>
        <v>79.8181818181818</v>
      </c>
      <c r="F7" s="8" t="n">
        <f aca="false">MEDIAN(BASE_DATOS!G4:G146)</f>
        <v>79.6</v>
      </c>
      <c r="G7" s="8" t="n">
        <f aca="false">STDEV(BASE_DATOS!G4:G146)</f>
        <v>6.4754208777634</v>
      </c>
      <c r="H7" s="35" t="s">
        <v>115</v>
      </c>
    </row>
    <row r="8" customFormat="false" ht="21.75" hidden="false" customHeight="true" outlineLevel="0" collapsed="false">
      <c r="A8" s="30" t="s">
        <v>116</v>
      </c>
      <c r="B8" s="31" t="s">
        <v>117</v>
      </c>
      <c r="C8" s="36" t="n">
        <f aca="false">MIN(BASE_DATOS!H4:H146)</f>
        <v>35.4</v>
      </c>
      <c r="D8" s="36" t="n">
        <f aca="false">MAX(BASE_DATOS!H4:H146)</f>
        <v>98.8</v>
      </c>
      <c r="E8" s="36" t="n">
        <f aca="false">AVERAGE(BASE_DATOS!H4:H146)</f>
        <v>67.2363636363636</v>
      </c>
      <c r="F8" s="36" t="n">
        <f aca="false">MEDIAN(BASE_DATOS!H4:H146)</f>
        <v>68.8</v>
      </c>
      <c r="G8" s="36" t="n">
        <f aca="false">STDEV(BASE_DATOS!H4:H146)</f>
        <v>14.3629391312</v>
      </c>
      <c r="H8" s="33" t="s">
        <v>118</v>
      </c>
    </row>
    <row r="9" customFormat="false" ht="21.75" hidden="false" customHeight="true" outlineLevel="0" collapsed="false">
      <c r="A9" s="34" t="s">
        <v>119</v>
      </c>
      <c r="B9" s="11" t="s">
        <v>120</v>
      </c>
      <c r="C9" s="9" t="n">
        <f aca="false">MIN(BASE_DATOS!I4:I146)</f>
        <v>8900</v>
      </c>
      <c r="D9" s="9" t="n">
        <f aca="false">MAX(BASE_DATOS!I4:I146)</f>
        <v>107731</v>
      </c>
      <c r="E9" s="9" t="n">
        <f aca="false">AVERAGE(BASE_DATOS!I4:I146)</f>
        <v>32127.4825174825</v>
      </c>
      <c r="F9" s="9" t="n">
        <f aca="false">MEDIAN(BASE_DATOS!I4:I146)</f>
        <v>24340</v>
      </c>
      <c r="G9" s="9" t="n">
        <f aca="false">STDEV(BASE_DATOS!I4:I146)</f>
        <v>22377.0217196164</v>
      </c>
      <c r="H9" s="35" t="s">
        <v>121</v>
      </c>
    </row>
    <row r="11" customFormat="false" ht="21.75" hidden="false" customHeight="true" outlineLevel="0" collapsed="false">
      <c r="A11" s="37" t="s">
        <v>122</v>
      </c>
      <c r="B11" s="37"/>
      <c r="C11" s="37"/>
      <c r="D11" s="37"/>
      <c r="E11" s="37"/>
      <c r="F11" s="37"/>
      <c r="G11" s="37"/>
      <c r="H11" s="37"/>
    </row>
    <row r="12" customFormat="false" ht="27.75" hidden="false" customHeight="true" outlineLevel="0" collapsed="false">
      <c r="A12" s="38" t="s">
        <v>123</v>
      </c>
      <c r="B12" s="38"/>
      <c r="C12" s="38"/>
      <c r="D12" s="38"/>
      <c r="E12" s="38"/>
      <c r="F12" s="38"/>
      <c r="G12" s="38"/>
      <c r="H12" s="38"/>
    </row>
    <row r="13" customFormat="false" ht="18" hidden="false" customHeight="true" outlineLevel="0" collapsed="false">
      <c r="A13" s="39" t="s">
        <v>124</v>
      </c>
      <c r="B13" s="39"/>
      <c r="C13" s="39"/>
      <c r="D13" s="39"/>
      <c r="E13" s="39"/>
      <c r="F13" s="39"/>
      <c r="G13" s="39"/>
      <c r="H13" s="39"/>
    </row>
    <row r="14" customFormat="false" ht="18" hidden="false" customHeight="true" outlineLevel="0" collapsed="false">
      <c r="A14" s="40" t="s">
        <v>125</v>
      </c>
      <c r="B14" s="40"/>
      <c r="C14" s="40"/>
      <c r="D14" s="40"/>
      <c r="E14" s="40"/>
      <c r="F14" s="40"/>
      <c r="G14" s="40"/>
      <c r="H14" s="40"/>
    </row>
    <row r="15" customFormat="false" ht="18" hidden="false" customHeight="true" outlineLevel="0" collapsed="false">
      <c r="A15" s="26" t="s">
        <v>126</v>
      </c>
      <c r="B15" s="26"/>
      <c r="C15" s="26"/>
      <c r="D15" s="26"/>
      <c r="E15" s="26"/>
      <c r="F15" s="26"/>
      <c r="G15" s="26"/>
      <c r="H15" s="26"/>
    </row>
    <row r="16" customFormat="false" ht="18" hidden="false" customHeight="true" outlineLevel="0" collapsed="false">
      <c r="A16" s="40" t="s">
        <v>127</v>
      </c>
      <c r="B16" s="40"/>
      <c r="C16" s="40"/>
      <c r="D16" s="40"/>
      <c r="E16" s="40"/>
      <c r="F16" s="40"/>
      <c r="G16" s="40"/>
      <c r="H16" s="40"/>
    </row>
    <row r="17" customFormat="false" ht="18" hidden="false" customHeight="true" outlineLevel="0" collapsed="false">
      <c r="A17" s="26" t="s">
        <v>128</v>
      </c>
      <c r="B17" s="26"/>
      <c r="C17" s="26"/>
      <c r="D17" s="26"/>
      <c r="E17" s="26"/>
      <c r="F17" s="26"/>
      <c r="G17" s="26"/>
      <c r="H17" s="26"/>
    </row>
    <row r="18" customFormat="false" ht="18" hidden="false" customHeight="true" outlineLevel="0" collapsed="false">
      <c r="A18" s="40" t="s">
        <v>129</v>
      </c>
      <c r="B18" s="40"/>
      <c r="C18" s="40"/>
      <c r="D18" s="40"/>
      <c r="E18" s="40"/>
      <c r="F18" s="40"/>
      <c r="G18" s="40"/>
      <c r="H18" s="40"/>
    </row>
    <row r="19" customFormat="false" ht="18" hidden="false" customHeight="true" outlineLevel="0" collapsed="false">
      <c r="A19" s="26" t="s">
        <v>130</v>
      </c>
      <c r="B19" s="26"/>
      <c r="C19" s="26"/>
      <c r="D19" s="26"/>
      <c r="E19" s="26"/>
      <c r="F19" s="26"/>
      <c r="G19" s="26"/>
      <c r="H19" s="26"/>
    </row>
    <row r="20" customFormat="false" ht="18" hidden="false" customHeight="true" outlineLevel="0" collapsed="false">
      <c r="A20" s="40" t="s">
        <v>131</v>
      </c>
      <c r="B20" s="40"/>
      <c r="C20" s="40"/>
      <c r="D20" s="40"/>
      <c r="E20" s="40"/>
      <c r="F20" s="40"/>
      <c r="G20" s="40"/>
      <c r="H20" s="40"/>
    </row>
  </sheetData>
  <mergeCells count="12">
    <mergeCell ref="A1:H1"/>
    <mergeCell ref="A2:H2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27" t="s">
        <v>132</v>
      </c>
      <c r="B1" s="27"/>
      <c r="C1" s="27"/>
      <c r="D1" s="27"/>
    </row>
    <row r="2" customFormat="false" ht="30" hidden="false" customHeight="true" outlineLevel="0" collapsed="false">
      <c r="A2" s="41" t="s">
        <v>133</v>
      </c>
      <c r="B2" s="41"/>
      <c r="C2" s="41"/>
      <c r="D2" s="41"/>
    </row>
    <row r="3" customFormat="false" ht="24" hidden="false" customHeight="true" outlineLevel="0" collapsed="false">
      <c r="A3" s="42" t="s">
        <v>134</v>
      </c>
      <c r="B3" s="42" t="s">
        <v>135</v>
      </c>
      <c r="C3" s="42" t="s">
        <v>136</v>
      </c>
      <c r="D3" s="42" t="s">
        <v>137</v>
      </c>
      <c r="E3" s="42" t="s">
        <v>138</v>
      </c>
      <c r="F3" s="42" t="s">
        <v>113</v>
      </c>
      <c r="G3" s="42" t="s">
        <v>116</v>
      </c>
      <c r="H3" s="42" t="s">
        <v>139</v>
      </c>
      <c r="I3" s="42" t="s">
        <v>140</v>
      </c>
    </row>
    <row r="4" customFormat="false" ht="39.75" hidden="false" customHeight="true" outlineLevel="0" collapsed="false">
      <c r="A4" s="43" t="s">
        <v>141</v>
      </c>
      <c r="B4" s="43"/>
      <c r="C4" s="43"/>
      <c r="D4" s="43"/>
      <c r="E4" s="43"/>
      <c r="F4" s="43"/>
      <c r="G4" s="43"/>
      <c r="H4" s="43"/>
      <c r="I4" s="43"/>
    </row>
  </sheetData>
  <mergeCells count="3">
    <mergeCell ref="A1:D1"/>
    <mergeCell ref="A2:D2"/>
    <mergeCell ref="A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2026-06-03T22:41:11Z</dcterms:created>
  <dc:creator>openpyxl</dc:creator>
  <dc:description/>
  <dc:language>en-US</dc:language>
  <cp:lastModifiedBy/>
  <dcterms:modified xsi:type="dcterms:W3CDTF">2026-06-03T22:41:12Z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