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\\wsl.localhost\Ubuntu\home\usuario\proyectos\informatica\"/>
    </mc:Choice>
  </mc:AlternateContent>
  <xr:revisionPtr revIDLastSave="0" documentId="13_ncr:1_{4F4E11DD-A0CB-4D59-96C4-D81A73555F48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FICHA TÉCNICA" sheetId="1" r:id="rId1"/>
    <sheet name="BASE DE DATOS" sheetId="2" r:id="rId2"/>
    <sheet name="GUÍA DE DESCARGA" sheetId="3" r:id="rId3"/>
    <sheet name="MODELO ECONOMÉTRICO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2" i="2" l="1"/>
  <c r="G42" i="2"/>
  <c r="F42" i="2"/>
  <c r="E42" i="2"/>
  <c r="D42" i="2"/>
  <c r="C42" i="2"/>
  <c r="H41" i="2"/>
  <c r="G41" i="2"/>
  <c r="F41" i="2"/>
  <c r="E41" i="2"/>
  <c r="D41" i="2"/>
  <c r="C41" i="2"/>
  <c r="G40" i="2"/>
  <c r="F40" i="2"/>
  <c r="E40" i="2"/>
  <c r="D40" i="2"/>
  <c r="C40" i="2"/>
  <c r="G39" i="2"/>
  <c r="F39" i="2"/>
  <c r="E39" i="2"/>
  <c r="D39" i="2"/>
  <c r="C39" i="2"/>
  <c r="G38" i="2"/>
  <c r="F38" i="2"/>
  <c r="E38" i="2"/>
  <c r="D38" i="2"/>
  <c r="C38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38" i="2" s="1"/>
  <c r="H40" i="2" l="1"/>
  <c r="H39" i="2"/>
</calcChain>
</file>

<file path=xl/sharedStrings.xml><?xml version="1.0" encoding="utf-8"?>
<sst xmlns="http://schemas.openxmlformats.org/spreadsheetml/2006/main" count="300" uniqueCount="230">
  <si>
    <t>BASE DE DATOS — TEMA 1: CONECTIVIDAD VIAL Y DESNUTRICIÓN CRÓNICA INFANTIL EN HUÁNUCO</t>
  </si>
  <si>
    <t>Modelo de Regresión Múltiple — Corte Transversal Distrital 2017-2022  (32 distritos de Huánuco)</t>
  </si>
  <si>
    <t>ECUACIÓN DEL MODELO ECONOMÉTRICO</t>
  </si>
  <si>
    <t>DESNUT_t  =  β₀  +  β₁·VIA_INDEX_t  +  β₂·AGUA_t  +  β₃·DENS_SALUD_t  +  β₄·ANALF_FEM_t  +  ε_t</t>
  </si>
  <si>
    <t>FICHA DE VARIABLES</t>
  </si>
  <si>
    <t>ROL</t>
  </si>
  <si>
    <t>CÓDIGO</t>
  </si>
  <si>
    <t>DESCRIPCIÓN COMPLETA</t>
  </si>
  <si>
    <t>UNIDAD DE MEDIDA</t>
  </si>
  <si>
    <t>FUENTE</t>
  </si>
  <si>
    <t>URL / RUTA DE DESCARGA</t>
  </si>
  <si>
    <t>FRECUENCIA ORIGINAL</t>
  </si>
  <si>
    <t>TRANSFORMACIÓN</t>
  </si>
  <si>
    <t>Y</t>
  </si>
  <si>
    <t>DESNUT</t>
  </si>
  <si>
    <t>Tasa de desnutrición crónica infantil por distrito (menores de 5 años con talla-para-edad &lt; -2 DE)</t>
  </si>
  <si>
    <t>% de niños con DCI sobre total evaluados</t>
  </si>
  <si>
    <t>MINSA — Sistema SIEN</t>
  </si>
  <si>
    <t>https://www.minsa.gob.pe → HIS/SIEN → Indicadores Nutricionales por distrito</t>
  </si>
  <si>
    <t>Anual</t>
  </si>
  <si>
    <t>Ninguna (usar directamente)</t>
  </si>
  <si>
    <t>X1</t>
  </si>
  <si>
    <t>VIA_INDEX</t>
  </si>
  <si>
    <t>Índice de accesibilidad vial distrital: km de red vial pavimentada dividido entre la población distrital × 1,000</t>
  </si>
  <si>
    <t>km pavim. por cada 1,000 hab.</t>
  </si>
  <si>
    <t>MTC — Clasificador de Rutas</t>
  </si>
  <si>
    <t>https://www.gob.pe/mtc → Estadísticas → Clasificador de Rutas / Mapa Vial Huánuco</t>
  </si>
  <si>
    <t>Ratio construido: km_pav / población × 1,000</t>
  </si>
  <si>
    <t>X2</t>
  </si>
  <si>
    <t>AGUA_PCT</t>
  </si>
  <si>
    <t>Porcentaje de hogares con acceso a agua por red pública dentro de la vivienda o pilón público</t>
  </si>
  <si>
    <t>% hogares sobre total de hogares del distrito</t>
  </si>
  <si>
    <t>INEI — Censo Nacional 2017</t>
  </si>
  <si>
    <t>https://censos2017.inei.gob.pe → Resultados Definitivos → Tabla de Vivienda</t>
  </si>
  <si>
    <t>Censal (2017)</t>
  </si>
  <si>
    <t>Ninguna (dato censal directo)</t>
  </si>
  <si>
    <t>X3</t>
  </si>
  <si>
    <t>DENS_SALUD</t>
  </si>
  <si>
    <t>Densidad de establecimientos de salud por cada 1,000 habitantes a nivel distrital (EESS 1er y 2do nivel)</t>
  </si>
  <si>
    <t>Número de EESS por 1,000 hab.</t>
  </si>
  <si>
    <t>MINSA — RENIPRESS</t>
  </si>
  <si>
    <t>https://www.minsa.gob.pe → RENIPRESS → Directorio Nacional de EESS → filtrar Huánuco</t>
  </si>
  <si>
    <t>Ratio: N° EESS / población × 1,000</t>
  </si>
  <si>
    <t>X4</t>
  </si>
  <si>
    <t>ANALF_FEM</t>
  </si>
  <si>
    <t>Tasa de analfabetismo femenino distrital: porcentaje de mujeres de 15 a más años que no saben leer ni escribir</t>
  </si>
  <si>
    <t>% mujeres analfabetas sobre total mujeres 15+ años</t>
  </si>
  <si>
    <t>https://censos2017.inei.gob.pe → Resultados Definitivos → Tabla Educación por distrito</t>
  </si>
  <si>
    <t>SIGNOS ESPERADOS DE LOS COEFICIENTES</t>
  </si>
  <si>
    <t>COEFICIENTE</t>
  </si>
  <si>
    <t>SIGNO ESPERADO</t>
  </si>
  <si>
    <t>JUSTIFICACIÓN ECONÓMICA</t>
  </si>
  <si>
    <t>β₁ (VIA_INDEX)</t>
  </si>
  <si>
    <t>Negativo (–)</t>
  </si>
  <si>
    <t>Mayor accesibilidad vial → menor tiempo de traslado a centros de salud y mercados → mejor estado nutricional infantil</t>
  </si>
  <si>
    <t>β₂ (AGUA_PCT)</t>
  </si>
  <si>
    <t>Mayor cobertura de agua potable → reducción de enfermedades diarreicas e infecciones → menor desnutrición crónica</t>
  </si>
  <si>
    <t>β₃ (DENS_SALUD)</t>
  </si>
  <si>
    <t>Mayor densidad de EESS → mayor cobertura de controles CRED y suplementación → menor prevalencia DCI</t>
  </si>
  <si>
    <t>β₄ (ANALF_FEM)</t>
  </si>
  <si>
    <t>Positivo (+)</t>
  </si>
  <si>
    <t>Mayor analfabetismo femenino → menor conocimiento materno sobre nutrición y prácticas de cuidado → mayor desnutrición</t>
  </si>
  <si>
    <t>NOTAS METODOLÓGICAS</t>
  </si>
  <si>
    <t>1. Unidad de análisis: 32 distritos del departamento de Huánuco. Corte transversal para los años 2017 y/o 2022 según disponibilidad de datos censales y SIEN.</t>
  </si>
  <si>
    <t>2. La variable Y (DESNUT) proviene del SIEN-MINSA. Descargar el consolidado anual por distrito para Huánuco en el portal HIS.</t>
  </si>
  <si>
    <t>3. VIA_INDEX (X1) se construye dividiendo los kilómetros de red vial pavimentada del distrito (MTC) entre la población proyectada del distrito × 1,000.</t>
  </si>
  <si>
    <t>4. AGUA_PCT (X2) y ANALF_FEM (X4) provienen del Censo Nacional 2017 (INEI). Disponibles en censos2017.inei.gob.pe con desagregación distrital.</t>
  </si>
  <si>
    <t>5. DENS_SALUD (X3) se construye dividiendo el número de EESS del distrito (RENIPRESS-MINSA) entre la población proyectada del distrito × 1,000.</t>
  </si>
  <si>
    <t>6. Verificar normalidad de los residuos (Jarque-Bera) y ausencia de heteroscedasticidad (prueba de White o Breusch-Pagan). Con corte transversal, el riesgo principal es la heteroscedasticidad.</t>
  </si>
  <si>
    <t>7. Estimar con MCO. Evaluar multicolinealidad con VIF (&lt; 10). Si VIF &gt; 10 entre X2 y X4, considerar eliminar la menos significativa o aplicar componentes principales.</t>
  </si>
  <si>
    <t>8. Software recomendado: EViews, Stata, R (paquete lm + lmtest + car) o SPSS. Se puede usar Excel con el complemento Analysis ToolPak para regresión básica.</t>
  </si>
  <si>
    <t>Corte transversal 32 distritos de Huánuco | Año de referencia: 2017-2022 | Fuentes: MINSA-SIEN, MTC, INEI-Censo 2017, RENIPRESS | Completar celdas en azul con datos descargados</t>
  </si>
  <si>
    <t>IDENTIFICACIÓN</t>
  </si>
  <si>
    <t>VARIABLE DEPENDIENTE</t>
  </si>
  <si>
    <t>VARIABLES INDEPENDIENTES</t>
  </si>
  <si>
    <t>VARIABLE AUXILIAR</t>
  </si>
  <si>
    <t>DISTRITO</t>
  </si>
  <si>
    <t>PROVINCIA</t>
  </si>
  <si>
    <t>Y  DESNUT
(% DCI menores 5 años)</t>
  </si>
  <si>
    <t>X1  VIA_INDEX
(km pav./1,000 hab.)</t>
  </si>
  <si>
    <t>X2  AGUA_PCT
(% hogares c/agua red)</t>
  </si>
  <si>
    <t>X3  DENS_SALUD
(EESS/1,000 hab.)</t>
  </si>
  <si>
    <t>X4  ANALF_FEM
(% mujeres analfab.)</t>
  </si>
  <si>
    <t>LN_VIA
(log X1)</t>
  </si>
  <si>
    <t>Huánuco</t>
  </si>
  <si>
    <t>Amarilis</t>
  </si>
  <si>
    <t>Pillco Marca</t>
  </si>
  <si>
    <t>Chinchao</t>
  </si>
  <si>
    <t>Churubamba</t>
  </si>
  <si>
    <t>Margos</t>
  </si>
  <si>
    <t>Quisqui</t>
  </si>
  <si>
    <t>San Francisco de Cayrán</t>
  </si>
  <si>
    <t>Santa María del Valle</t>
  </si>
  <si>
    <t>Yacus</t>
  </si>
  <si>
    <t>Ambo</t>
  </si>
  <si>
    <t>Conchamarca</t>
  </si>
  <si>
    <t>San Francisco</t>
  </si>
  <si>
    <t>Tomay Kichwa</t>
  </si>
  <si>
    <t>Huacaybamba</t>
  </si>
  <si>
    <t>Canchabamba</t>
  </si>
  <si>
    <t>Cochabamba</t>
  </si>
  <si>
    <t>Pinra</t>
  </si>
  <si>
    <t>Huamalíes</t>
  </si>
  <si>
    <t>Arancay</t>
  </si>
  <si>
    <t>Chavinillo</t>
  </si>
  <si>
    <t>Yarowilca</t>
  </si>
  <si>
    <t>Choras</t>
  </si>
  <si>
    <t>Jacas Grande</t>
  </si>
  <si>
    <t>Obas</t>
  </si>
  <si>
    <t>Pampamarca</t>
  </si>
  <si>
    <t>Leoncio Prado</t>
  </si>
  <si>
    <t>José Crespo y Castillo</t>
  </si>
  <si>
    <t>Luyando</t>
  </si>
  <si>
    <t>Mariano Dámaso Beraún</t>
  </si>
  <si>
    <t>Rupa-Rupa</t>
  </si>
  <si>
    <t>Puerto Inca</t>
  </si>
  <si>
    <t>Honoria</t>
  </si>
  <si>
    <t>N (obs.)</t>
  </si>
  <si>
    <t>Media</t>
  </si>
  <si>
    <t>Desv. Estándar</t>
  </si>
  <si>
    <t>Mín.</t>
  </si>
  <si>
    <t>Máx.</t>
  </si>
  <si>
    <t>LEYENDA DE COLORES:  🟢 Verde-azul = Variable dependiente (Y) — ingresar datos manualmente   🔵 Azul = Variables independientes (X) — ingresar datos manualmente   ⬜ Gris = Fórmulas calculadas automáticamente</t>
  </si>
  <si>
    <t>GUÍA PASO A PASO PARA DESCARGA DE DATOS — TEMA 1</t>
  </si>
  <si>
    <t>Y — DESNUT | Fuente: MINSA — Sistema SIEN (Estado Nutricional)</t>
  </si>
  <si>
    <t>PASO</t>
  </si>
  <si>
    <t>ACCIÓN</t>
  </si>
  <si>
    <t>DETALLE</t>
  </si>
  <si>
    <t>1</t>
  </si>
  <si>
    <t>Ir al portal del MINSA</t>
  </si>
  <si>
    <t>https://www.minsa.gob.pe</t>
  </si>
  <si>
    <t>2</t>
  </si>
  <si>
    <t>Ruta de navegación</t>
  </si>
  <si>
    <t>Inicio → Información de Salud → HIS → SIEN (Sistema de Información del Estado Nutricional)</t>
  </si>
  <si>
    <t>3</t>
  </si>
  <si>
    <t>Seleccionar reporte distrital</t>
  </si>
  <si>
    <t>En el SIEN, busca 'Indicadores Nutricionales por distrito' → Huánuco → Año 2022 (o el más reciente disponible).</t>
  </si>
  <si>
    <t>4</t>
  </si>
  <si>
    <t>Dato a extraer</t>
  </si>
  <si>
    <t>Descarga la tabla de Desnutrición Crónica Infantil (DCI) en menores de 5 años por distrito de Huánuco (%). Columna: '% DCI talla/edad &lt; -2 DE (patrón OMS)'.</t>
  </si>
  <si>
    <t>5</t>
  </si>
  <si>
    <t>Alternativa — INEI ENDES</t>
  </si>
  <si>
    <t>Si el SIEN no tiene desagregación distrital completa, usa la Encuesta Demográfica y de Salud Familiar (ENDES) del INEI: proyectos.inei.gob.pe/microdatos → ENDES → filtrar departamento Huánuco.</t>
  </si>
  <si>
    <t>X1 — VIA_INDEX | Fuente: MTC — Clasificador de Rutas y Mapa Vial</t>
  </si>
  <si>
    <t>Ir al portal del MTC</t>
  </si>
  <si>
    <t>https://www.gob.pe/mtc → sección Estadísticas → Transporte Terrestre → Infraestructura Vial</t>
  </si>
  <si>
    <t>Descargar Clasificador de Rutas</t>
  </si>
  <si>
    <t>Busca el archivo Excel 'Clasificador de Rutas del SINAC'. Filtra por departamento Huánuco y anota km por tipo de superficie (pavimentado / afirmado / sin afirmar) a nivel distrital.</t>
  </si>
  <si>
    <t>Mapa Vial Departamental</t>
  </si>
  <si>
    <t>Complementar con el 'Mapa Vial del Departamento de Huánuco' (PDF/SHP). Disponible en MTC → Portal Geo → capas de red vial.</t>
  </si>
  <si>
    <t>Construir el índice</t>
  </si>
  <si>
    <t>VIA_INDEX = km_vial_pavimentada_distrito / Población_distrital × 1,000. La población distrital 2017 o 2022 se obtiene de INEI → Estimaciones y Proyecciones.</t>
  </si>
  <si>
    <t>Fuente de población</t>
  </si>
  <si>
    <t>INEI: https://www.inei.gob.pe → Estadísticas → Población y Vivienda → Estimaciones y Proyecciones de Población → tabla por departamento/provincia/distrito.</t>
  </si>
  <si>
    <t>X2 — AGUA_PCT | Fuente: INEI — Censo Nacional de Población y Vivienda 2017</t>
  </si>
  <si>
    <t>Ir a Censos 2017</t>
  </si>
  <si>
    <t>https://censos2017.inei.gob.pe → sección 'Resultados Definitivos'</t>
  </si>
  <si>
    <t>Seleccionar tomo de vivienda</t>
  </si>
  <si>
    <t>Descargar el Tomo de Vivienda para Huánuco (archivo PDF o Excel con tablas estadísticas). Busca la tabla: 'Viviendas particulares con ocupantes presentes, por tipo de abastecimiento de agua'.</t>
  </si>
  <si>
    <t>Dato a extraer por distrito</t>
  </si>
  <si>
    <t>Para cada distrito de Huánuco, extraer: % hogares con agua por 'red pública dentro de la vivienda' + 'red pública fuera de la vivienda' + 'pilón o pileta pública'. Sumar los tres valores = AGUA_PCT.</t>
  </si>
  <si>
    <t>Alternativa — ENAHO</t>
  </si>
  <si>
    <t>INEI ENAHO (módulo de vivienda): proyectos.inei.gob.pe/microdatos → ENAHO → Módulo 100 (Características de la vivienda) → variable P1121 (abastecimiento de agua) → filtrar Huánuco.</t>
  </si>
  <si>
    <t>X3 — DENS_SALUD | Fuente: MINSA — RENIPRESS (Directorio de EESS)</t>
  </si>
  <si>
    <t>Ir al RENIPRESS</t>
  </si>
  <si>
    <t>https://www.minsa.gob.pe → Datos Abiertos → Registro Nacional de EESS (RENIPRESS) → Descargar base de datos completa en Excel.</t>
  </si>
  <si>
    <t>Filtrar por Huánuco</t>
  </si>
  <si>
    <t>Abrir el archivo Excel del RENIPRESS. Filtrar columna 'Departamento' = HUANUCO. Luego filtrar por 'Categoría' solo niveles I y II (primer y segundo nivel de atención).</t>
  </si>
  <si>
    <t>Contar EESS por distrito</t>
  </si>
  <si>
    <t>Con tabla dinámica o CONTARSI, contar el número de establecimientos activos por distrito. Resultado: N° EESS por cada distrito.</t>
  </si>
  <si>
    <t>Construir la densidad</t>
  </si>
  <si>
    <t>DENS_SALUD = N°_EESS_distrito / Población_distrital × 1,000. Usar la misma población que en X1 (INEI proyecciones).</t>
  </si>
  <si>
    <t>X4 — ANALF_FEM | Fuente: INEI — Censo Nacional 2017</t>
  </si>
  <si>
    <t>https://censos2017.inei.gob.pe → Resultados Definitivos → Tomo de Educación para Huánuco.</t>
  </si>
  <si>
    <t>Busca la tabla: 'Población de 15 y más años de edad por sexo, según nivel educativo y condición de alfabetismo'. Extraer para cada distrito: mujeres analfabetas / total mujeres 15+ años × 100 = ANALF_FEM.</t>
  </si>
  <si>
    <t>Alternativa — INEI datos abiertos</t>
  </si>
  <si>
    <t>datosabiertos.gob.pe → INEI → Indicadores de educación por distrito → buscar tasa de analfabetismo femenino departamento Huánuco.</t>
  </si>
  <si>
    <t>Validación</t>
  </si>
  <si>
    <t>La tasa departamental de Huánuco (referencia): aproximadamente 14%-18% de analfabetismo femenino según Censo 2017. Distritos rurales de sierra pueden superar el 30%. Verificar coherencia de los valores extraídos.</t>
  </si>
  <si>
    <t>ESQUEMA DEL MODELO ECONOMÉTRICO — TEMA 1</t>
  </si>
  <si>
    <t>ESPECIFICACIÓN DEL MODELO</t>
  </si>
  <si>
    <t>Tipo de modelo</t>
  </si>
  <si>
    <t>Regresión lineal múltiple por Mínimos Cuadrados Ordinarios (MCO) — Corte Transversal</t>
  </si>
  <si>
    <t>Forma funcional</t>
  </si>
  <si>
    <t>Log-lineal parcial: Y en niveles; X1 en logaritmo natural (LN) para reducir asimetría del índice vial; X2, X3, X4 en niveles porcentuales</t>
  </si>
  <si>
    <t>Ecuación estimable</t>
  </si>
  <si>
    <t>DESNUT_i = β₀ + β₁·LN(VIA_INDEX_i) + β₂·AGUA_PCT_i + β₃·DENS_SALUD_i + β₄·ANALF_FEM_i + ε_i</t>
  </si>
  <si>
    <t>Unidad de análisis</t>
  </si>
  <si>
    <t>Distritos del departamento de Huánuco (N = 32)</t>
  </si>
  <si>
    <t>Número de parámetros</t>
  </si>
  <si>
    <t>5 (β₀, β₁, β₂, β₃, β₄)</t>
  </si>
  <si>
    <t>Grados de libertad</t>
  </si>
  <si>
    <t>27 (adecuado para MCO con 4 regresores y 32 observaciones)</t>
  </si>
  <si>
    <t>PASOS DE ESTIMACIÓN</t>
  </si>
  <si>
    <t>Paso 1 — Análisis descriptivo</t>
  </si>
  <si>
    <t>Calcular media, desviación estándar, mínimo y máximo de cada variable. Construir histogramas de Y (DESNUT) para evaluar distribución. Mapear la variable dependiente por distrito para detectar clusters espaciales.</t>
  </si>
  <si>
    <t>Paso 2 — Análisis de correlaciones</t>
  </si>
  <si>
    <t>Construir matriz de correlaciones entre X1 (LN), X2, X3, X4. Si |r| &gt; 0,90 entre dos regresores → posible multicolinealidad severa. Calcular VIF (Variance Inflation Factor): VIF &lt; 10 es aceptable.</t>
  </si>
  <si>
    <t>Paso 3 — Estimación MCO</t>
  </si>
  <si>
    <t>Estimar la ecuación por OLS. Obtener: coeficientes β̂, errores estándar, t-estadísticos, p-valores, R², R² ajustado y F-estadístico global del modelo.</t>
  </si>
  <si>
    <t>Paso 4 — Diagnóstico de residuos (corte transversal)</t>
  </si>
  <si>
    <t>a) Heteroscedasticidad: prueba de White (H₀: residuos homosc.). En datos de corte transversal distrital, la heteroscedasticidad es el problema más frecuente. Si se rechaza H₀ → usar errores estándar robustos (White/HC).
b) Normalidad: prueba Jarque-Bera sobre residuos.
c) Detección de observaciones influyentes: Distancia de Cook, apalancamiento (leverage). Con N=32 es crucial identificar outliers.</t>
  </si>
  <si>
    <t>Paso 5 — Interpretación de coeficientes</t>
  </si>
  <si>
    <t>β₁: disminución en pp de DESNUT ante un aumento del 1% en VIA_INDEX (elasticidad parcial).
β₂: cambio en pp de DESNUT ante un aumento de 1 pp en AGUA_PCT.
β₃: cambio en pp de DESNUT ante el aumento de 1 EESS por mil habitantes.
β₄: cambio en pp de DESNUT ante un aumento de 1 pp en ANALF_FEM.</t>
  </si>
  <si>
    <t>Paso 6 — Modelo ampliado (opcional)</t>
  </si>
  <si>
    <t>Incluir término de interacción β₅·(VIA_INDEX × ANALF_FEM) para testear si el efecto de la accesibilidad vial es heterogéneo según el nivel de capital humano femenino distrital.</t>
  </si>
  <si>
    <t>CRITERIOS DE BONDAD DE AJUSTE</t>
  </si>
  <si>
    <t>R² ajustado</t>
  </si>
  <si>
    <t>Debe ser &gt; 0,50 para considerarse aceptable con N=32 en datos de corte transversal.</t>
  </si>
  <si>
    <t>F-estadístico (global)</t>
  </si>
  <si>
    <t>p-valor &lt; 0,05 → el modelo en su conjunto es significativo.</t>
  </si>
  <si>
    <t>t-estadísticos</t>
  </si>
  <si>
    <t>p-valor &lt; 0,05 por variable → coeficiente individualmente significativo.</t>
  </si>
  <si>
    <t>Prueba de White</t>
  </si>
  <si>
    <t>p-valor &gt; 0,05 indica homocedasticidad. Si &lt; 0,05, usar errores estándar robustos (HC3).</t>
  </si>
  <si>
    <t>VIF</t>
  </si>
  <si>
    <t>VIF &lt; 10 para cada regresor indica ausencia de multicolinealidad severa. VIF &lt; 5 es ideal.</t>
  </si>
  <si>
    <t>AIC / BIC</t>
  </si>
  <si>
    <t>Útiles para comparar especificaciones alternativas del modelo (con/sin interacciones, con/sin transformaciones logarítmicas).</t>
  </si>
  <si>
    <t>HIPÓTESIS DE LA INVESTIGACIÓN</t>
  </si>
  <si>
    <t>Hipótesis general</t>
  </si>
  <si>
    <t>La accesibilidad vial, la cobertura de agua potable, la densidad de establecimientos de salud y el capital humano femenino determinan significativamente la tasa de desnutrición crónica infantil entre los distritos del departamento de Huánuco.</t>
  </si>
  <si>
    <t>H₁ (X1: VIA_INDEX)</t>
  </si>
  <si>
    <t>A mayor índice de accesibilidad vial distrital, menor tasa de desnutrición crónica infantil, al mejorar el acceso a centros de salud y mercados de alimentos (β₁ &lt; 0).</t>
  </si>
  <si>
    <t>H₂ (X2: AGUA_PCT)</t>
  </si>
  <si>
    <t>A mayor porcentaje de hogares con acceso a agua potable, menor tasa de desnutrición, por reducción de enfermedades gastrointestinales que deterioran la absorción de nutrientes (β₂ &lt; 0).</t>
  </si>
  <si>
    <t>H₃ (X3: DENS_SALUD)</t>
  </si>
  <si>
    <t>A mayor densidad de establecimientos de salud, menor tasa de desnutrición, al ampliar la cobertura de controles de Crecimiento y Desarrollo (CRED) y programas de suplementación con micronutrientes (β₃ &lt; 0).</t>
  </si>
  <si>
    <t>H₄ (X4: ANALF_FEM)</t>
  </si>
  <si>
    <t>A mayor tasa de analfabetismo femenino distrital, mayor tasa de desnutrición infantil, dada la correlación entre la educación materna y las prácticas de alimentación, higiene y cuidado (β₄ &gt; 0).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</si>
</sst>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9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i/>
      <sz val="11"/>
      <color rgb="FF1F3864"/>
      <name val="Arial"/>
      <family val="2"/>
    </font>
    <font>
      <b/>
      <sz val="11"/>
      <color rgb="FFFFFFFF"/>
      <name val="Arial"/>
      <family val="2"/>
    </font>
    <font>
      <b/>
      <sz val="12"/>
      <color rgb="FF1F3864"/>
      <name val="Arial"/>
      <family val="2"/>
    </font>
    <font>
      <b/>
      <sz val="10"/>
      <color rgb="FFFFFFFF"/>
      <name val="Arial"/>
      <family val="2"/>
    </font>
    <font>
      <b/>
      <sz val="10"/>
      <color rgb="FF0070C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C00000"/>
      <name val="Arial"/>
      <family val="2"/>
    </font>
    <font>
      <sz val="10"/>
      <color rgb="FFC00000"/>
      <name val="Arial"/>
      <family val="2"/>
    </font>
    <font>
      <b/>
      <sz val="10"/>
      <color rgb="FF375623"/>
      <name val="Arial"/>
      <family val="2"/>
    </font>
    <font>
      <sz val="10"/>
      <color rgb="FF375623"/>
      <name val="Arial"/>
      <family val="2"/>
    </font>
    <font>
      <sz val="10"/>
      <name val="Arial"/>
      <family val="2"/>
    </font>
    <font>
      <b/>
      <sz val="13"/>
      <color rgb="FFFFFFFF"/>
      <name val="Arial"/>
      <family val="2"/>
    </font>
    <font>
      <i/>
      <sz val="10"/>
      <color rgb="FF1F3864"/>
      <name val="Arial"/>
      <family val="2"/>
    </font>
    <font>
      <sz val="10"/>
      <color rgb="FF0070C0"/>
      <name val="Arial"/>
      <family val="2"/>
    </font>
    <font>
      <b/>
      <sz val="10"/>
      <name val="Arial"/>
      <family val="2"/>
    </font>
    <font>
      <i/>
      <sz val="9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  <fill>
      <patternFill patternType="solid">
        <fgColor rgb="FF2E75B6"/>
      </patternFill>
    </fill>
    <fill>
      <patternFill patternType="solid">
        <fgColor rgb="FFEBF3FB"/>
      </patternFill>
    </fill>
    <fill>
      <patternFill patternType="solid">
        <fgColor rgb="FFD6E4F0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FFFDE7"/>
      </patternFill>
    </fill>
    <fill>
      <patternFill patternType="solid">
        <fgColor rgb="FF1A5276"/>
      </patternFill>
    </fill>
    <fill>
      <patternFill patternType="solid">
        <fgColor rgb="FF1D6A96"/>
      </patternFill>
    </fill>
    <fill>
      <patternFill patternType="solid">
        <fgColor rgb="FF555555"/>
      </patternFill>
    </fill>
    <fill>
      <patternFill patternType="solid">
        <fgColor rgb="FF3D85C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5" fillId="4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left" vertical="center" wrapText="1"/>
    </xf>
    <xf numFmtId="0" fontId="0" fillId="0" borderId="1" xfId="0" applyBorder="1"/>
    <xf numFmtId="0" fontId="9" fillId="8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vertical="center" wrapText="1"/>
    </xf>
    <xf numFmtId="2" fontId="16" fillId="5" borderId="1" xfId="0" applyNumberFormat="1" applyFont="1" applyFill="1" applyBorder="1" applyAlignment="1">
      <alignment horizontal="center" vertical="center"/>
    </xf>
    <xf numFmtId="164" fontId="8" fillId="8" borderId="1" xfId="0" applyNumberFormat="1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vertical="center" wrapText="1"/>
    </xf>
    <xf numFmtId="0" fontId="17" fillId="8" borderId="1" xfId="0" applyFont="1" applyFill="1" applyBorder="1"/>
    <xf numFmtId="0" fontId="0" fillId="8" borderId="1" xfId="0" applyFill="1" applyBorder="1"/>
    <xf numFmtId="2" fontId="13" fillId="8" borderId="1" xfId="0" applyNumberFormat="1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left" vertical="center" wrapText="1" indent="1"/>
    </xf>
    <xf numFmtId="0" fontId="13" fillId="8" borderId="1" xfId="0" applyFont="1" applyFill="1" applyBorder="1" applyAlignment="1">
      <alignment horizontal="left" vertical="center" wrapText="1" indent="1"/>
    </xf>
    <xf numFmtId="0" fontId="13" fillId="9" borderId="1" xfId="0" applyFont="1" applyFill="1" applyBorder="1" applyAlignment="1">
      <alignment horizontal="center" vertical="center" wrapText="1"/>
    </xf>
    <xf numFmtId="0" fontId="17" fillId="9" borderId="1" xfId="0" applyFont="1" applyFill="1" applyBorder="1" applyAlignment="1">
      <alignment horizontal="left" vertical="center" wrapText="1" indent="1"/>
    </xf>
    <xf numFmtId="0" fontId="13" fillId="9" borderId="1" xfId="0" applyFont="1" applyFill="1" applyBorder="1" applyAlignment="1">
      <alignment horizontal="left" vertical="center" wrapText="1" indent="1"/>
    </xf>
    <xf numFmtId="0" fontId="17" fillId="8" borderId="1" xfId="0" applyFont="1" applyFill="1" applyBorder="1" applyAlignment="1">
      <alignment vertical="center" wrapText="1" indent="1"/>
    </xf>
    <xf numFmtId="0" fontId="13" fillId="8" borderId="1" xfId="0" applyFont="1" applyFill="1" applyBorder="1" applyAlignment="1">
      <alignment vertical="center" wrapText="1" indent="1"/>
    </xf>
    <xf numFmtId="0" fontId="17" fillId="9" borderId="1" xfId="0" applyFont="1" applyFill="1" applyBorder="1" applyAlignment="1">
      <alignment vertical="center" wrapText="1" indent="1"/>
    </xf>
    <xf numFmtId="0" fontId="13" fillId="9" borderId="1" xfId="0" applyFont="1" applyFill="1" applyBorder="1" applyAlignment="1">
      <alignment vertical="center" wrapText="1" indent="1"/>
    </xf>
    <xf numFmtId="0" fontId="10" fillId="8" borderId="1" xfId="0" applyFont="1" applyFill="1" applyBorder="1" applyAlignment="1">
      <alignment horizontal="left" vertical="center" wrapText="1"/>
    </xf>
    <xf numFmtId="0" fontId="0" fillId="0" borderId="1" xfId="0" applyBorder="1"/>
    <xf numFmtId="0" fontId="13" fillId="10" borderId="1" xfId="0" applyFont="1" applyFill="1" applyBorder="1" applyAlignment="1">
      <alignment vertical="center" wrapText="1" indent="1"/>
    </xf>
    <xf numFmtId="0" fontId="5" fillId="4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0" borderId="0" xfId="0"/>
    <xf numFmtId="0" fontId="13" fillId="11" borderId="1" xfId="0" applyFont="1" applyFill="1" applyBorder="1" applyAlignment="1">
      <alignment vertical="center" wrapText="1" indent="1"/>
    </xf>
    <xf numFmtId="0" fontId="10" fillId="9" borderId="1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0" fontId="12" fillId="9" borderId="1" xfId="0" applyFont="1" applyFill="1" applyBorder="1" applyAlignment="1">
      <alignment horizontal="left" vertical="center" wrapText="1"/>
    </xf>
    <xf numFmtId="0" fontId="4" fillId="5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0" fontId="15" fillId="3" borderId="0" xfId="0" applyFont="1" applyFill="1" applyAlignment="1">
      <alignment horizontal="center" vertical="center" wrapText="1"/>
    </xf>
    <xf numFmtId="0" fontId="5" fillId="14" borderId="1" xfId="0" applyFont="1" applyFill="1" applyBorder="1" applyAlignment="1">
      <alignment horizontal="center" vertical="center"/>
    </xf>
    <xf numFmtId="0" fontId="18" fillId="10" borderId="0" xfId="0" applyFont="1" applyFill="1" applyAlignment="1">
      <alignment horizontal="left" vertical="center" wrapText="1"/>
    </xf>
    <xf numFmtId="0" fontId="14" fillId="2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left" vertical="center" indent="1"/>
    </xf>
    <xf numFmtId="0" fontId="3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showGridLines="0" zoomScale="115" zoomScaleNormal="115" workbookViewId="0">
      <selection sqref="A1:H2"/>
    </sheetView>
  </sheetViews>
  <sheetFormatPr baseColWidth="10" defaultColWidth="9.140625" defaultRowHeight="15" x14ac:dyDescent="0.25"/>
  <cols>
    <col min="1" max="1" width="19.5703125" customWidth="1"/>
    <col min="2" max="2" width="18" customWidth="1"/>
    <col min="3" max="3" width="51.140625" customWidth="1"/>
    <col min="4" max="4" width="29.140625" customWidth="1"/>
    <col min="5" max="5" width="25" customWidth="1"/>
    <col min="6" max="6" width="36.42578125" customWidth="1"/>
    <col min="7" max="8" width="22" customWidth="1"/>
  </cols>
  <sheetData>
    <row r="1" spans="1:8" ht="27.95" customHeight="1" x14ac:dyDescent="0.25">
      <c r="A1" s="49" t="s">
        <v>0</v>
      </c>
      <c r="B1" s="43"/>
      <c r="C1" s="43"/>
      <c r="D1" s="43"/>
      <c r="E1" s="43"/>
      <c r="F1" s="43"/>
      <c r="G1" s="43"/>
      <c r="H1" s="43"/>
    </row>
    <row r="2" spans="1:8" ht="15.95" customHeight="1" x14ac:dyDescent="0.25">
      <c r="A2" s="43"/>
      <c r="B2" s="43"/>
      <c r="C2" s="43"/>
      <c r="D2" s="43"/>
      <c r="E2" s="43"/>
      <c r="F2" s="43"/>
      <c r="G2" s="43"/>
      <c r="H2" s="43"/>
    </row>
    <row r="3" spans="1:8" ht="18" customHeight="1" x14ac:dyDescent="0.25">
      <c r="A3" s="46" t="s">
        <v>1</v>
      </c>
      <c r="B3" s="43"/>
      <c r="C3" s="43"/>
      <c r="D3" s="43"/>
      <c r="E3" s="43"/>
      <c r="F3" s="43"/>
      <c r="G3" s="43"/>
      <c r="H3" s="43"/>
    </row>
    <row r="4" spans="1:8" ht="20.100000000000001" customHeight="1" x14ac:dyDescent="0.25">
      <c r="A4" s="50" t="s">
        <v>2</v>
      </c>
      <c r="B4" s="43"/>
      <c r="C4" s="43"/>
      <c r="D4" s="43"/>
      <c r="E4" s="43"/>
      <c r="F4" s="43"/>
      <c r="G4" s="43"/>
      <c r="H4" s="43"/>
    </row>
    <row r="5" spans="1:8" ht="21.95" customHeight="1" x14ac:dyDescent="0.25">
      <c r="A5" s="48" t="s">
        <v>3</v>
      </c>
      <c r="B5" s="43"/>
      <c r="C5" s="43"/>
      <c r="D5" s="43"/>
      <c r="E5" s="43"/>
      <c r="F5" s="43"/>
      <c r="G5" s="43"/>
      <c r="H5" s="43"/>
    </row>
    <row r="6" spans="1:8" ht="20.100000000000001" customHeight="1" x14ac:dyDescent="0.25">
      <c r="A6" s="42" t="s">
        <v>4</v>
      </c>
      <c r="B6" s="43"/>
      <c r="C6" s="43"/>
      <c r="D6" s="43"/>
      <c r="E6" s="43"/>
      <c r="F6" s="43"/>
      <c r="G6" s="43"/>
      <c r="H6" s="43"/>
    </row>
    <row r="7" spans="1:8" ht="30" customHeight="1" x14ac:dyDescent="0.25">
      <c r="A7" s="1" t="s">
        <v>5</v>
      </c>
      <c r="B7" s="1" t="s">
        <v>6</v>
      </c>
      <c r="C7" s="1" t="s">
        <v>7</v>
      </c>
      <c r="D7" s="1" t="s">
        <v>8</v>
      </c>
      <c r="E7" s="1" t="s">
        <v>9</v>
      </c>
      <c r="F7" s="1" t="s">
        <v>10</v>
      </c>
      <c r="G7" s="1" t="s">
        <v>11</v>
      </c>
      <c r="H7" s="1" t="s">
        <v>12</v>
      </c>
    </row>
    <row r="8" spans="1:8" ht="48" customHeight="1" x14ac:dyDescent="0.25">
      <c r="A8" s="2" t="s">
        <v>13</v>
      </c>
      <c r="B8" s="3" t="s">
        <v>14</v>
      </c>
      <c r="C8" s="4" t="s">
        <v>15</v>
      </c>
      <c r="D8" s="4" t="s">
        <v>16</v>
      </c>
      <c r="E8" s="4" t="s">
        <v>17</v>
      </c>
      <c r="F8" s="4" t="s">
        <v>18</v>
      </c>
      <c r="G8" s="4" t="s">
        <v>19</v>
      </c>
      <c r="H8" s="4" t="s">
        <v>20</v>
      </c>
    </row>
    <row r="9" spans="1:8" ht="48" customHeight="1" x14ac:dyDescent="0.25">
      <c r="A9" s="5" t="s">
        <v>21</v>
      </c>
      <c r="B9" s="6" t="s">
        <v>22</v>
      </c>
      <c r="C9" s="7" t="s">
        <v>23</v>
      </c>
      <c r="D9" s="7" t="s">
        <v>24</v>
      </c>
      <c r="E9" s="7" t="s">
        <v>25</v>
      </c>
      <c r="F9" s="7" t="s">
        <v>26</v>
      </c>
      <c r="G9" s="7" t="s">
        <v>19</v>
      </c>
      <c r="H9" s="7" t="s">
        <v>27</v>
      </c>
    </row>
    <row r="10" spans="1:8" ht="48" customHeight="1" x14ac:dyDescent="0.25">
      <c r="A10" s="5" t="s">
        <v>28</v>
      </c>
      <c r="B10" s="6" t="s">
        <v>29</v>
      </c>
      <c r="C10" s="7" t="s">
        <v>30</v>
      </c>
      <c r="D10" s="7" t="s">
        <v>31</v>
      </c>
      <c r="E10" s="7" t="s">
        <v>32</v>
      </c>
      <c r="F10" s="7" t="s">
        <v>33</v>
      </c>
      <c r="G10" s="7" t="s">
        <v>34</v>
      </c>
      <c r="H10" s="7" t="s">
        <v>35</v>
      </c>
    </row>
    <row r="11" spans="1:8" ht="48" customHeight="1" x14ac:dyDescent="0.25">
      <c r="A11" s="5" t="s">
        <v>36</v>
      </c>
      <c r="B11" s="6" t="s">
        <v>37</v>
      </c>
      <c r="C11" s="7" t="s">
        <v>38</v>
      </c>
      <c r="D11" s="7" t="s">
        <v>39</v>
      </c>
      <c r="E11" s="7" t="s">
        <v>40</v>
      </c>
      <c r="F11" s="7" t="s">
        <v>41</v>
      </c>
      <c r="G11" s="7" t="s">
        <v>19</v>
      </c>
      <c r="H11" s="7" t="s">
        <v>42</v>
      </c>
    </row>
    <row r="12" spans="1:8" ht="48" customHeight="1" x14ac:dyDescent="0.25">
      <c r="A12" s="5" t="s">
        <v>43</v>
      </c>
      <c r="B12" s="6" t="s">
        <v>44</v>
      </c>
      <c r="C12" s="7" t="s">
        <v>45</v>
      </c>
      <c r="D12" s="7" t="s">
        <v>46</v>
      </c>
      <c r="E12" s="7" t="s">
        <v>32</v>
      </c>
      <c r="F12" s="7" t="s">
        <v>47</v>
      </c>
      <c r="G12" s="7" t="s">
        <v>34</v>
      </c>
      <c r="H12" s="7" t="s">
        <v>35</v>
      </c>
    </row>
    <row r="13" spans="1:8" ht="8.1" customHeight="1" x14ac:dyDescent="0.25"/>
    <row r="14" spans="1:8" ht="20.100000000000001" customHeight="1" x14ac:dyDescent="0.25">
      <c r="A14" s="42" t="s">
        <v>48</v>
      </c>
      <c r="B14" s="43"/>
      <c r="C14" s="43"/>
      <c r="D14" s="43"/>
      <c r="E14" s="43"/>
      <c r="F14" s="43"/>
      <c r="G14" s="43"/>
      <c r="H14" s="43"/>
    </row>
    <row r="15" spans="1:8" ht="20.100000000000001" customHeight="1" x14ac:dyDescent="0.25">
      <c r="A15" s="41" t="s">
        <v>49</v>
      </c>
      <c r="B15" s="41" t="s">
        <v>50</v>
      </c>
      <c r="C15" s="41" t="s">
        <v>51</v>
      </c>
      <c r="D15" s="39"/>
      <c r="E15" s="39"/>
      <c r="F15" s="39"/>
      <c r="G15" s="39"/>
      <c r="H15" s="39"/>
    </row>
    <row r="16" spans="1:8" ht="36" customHeight="1" x14ac:dyDescent="0.25">
      <c r="A16" s="9" t="s">
        <v>52</v>
      </c>
      <c r="B16" s="10" t="s">
        <v>53</v>
      </c>
      <c r="C16" s="38" t="s">
        <v>54</v>
      </c>
      <c r="D16" s="39"/>
      <c r="E16" s="39"/>
      <c r="F16" s="39"/>
      <c r="G16" s="39"/>
      <c r="H16" s="39"/>
    </row>
    <row r="17" spans="1:8" ht="36" customHeight="1" x14ac:dyDescent="0.25">
      <c r="A17" s="11" t="s">
        <v>55</v>
      </c>
      <c r="B17" s="12" t="s">
        <v>53</v>
      </c>
      <c r="C17" s="45" t="s">
        <v>56</v>
      </c>
      <c r="D17" s="39"/>
      <c r="E17" s="39"/>
      <c r="F17" s="39"/>
      <c r="G17" s="39"/>
      <c r="H17" s="39"/>
    </row>
    <row r="18" spans="1:8" ht="36" customHeight="1" x14ac:dyDescent="0.25">
      <c r="A18" s="9" t="s">
        <v>57</v>
      </c>
      <c r="B18" s="10" t="s">
        <v>53</v>
      </c>
      <c r="C18" s="38" t="s">
        <v>58</v>
      </c>
      <c r="D18" s="39"/>
      <c r="E18" s="39"/>
      <c r="F18" s="39"/>
      <c r="G18" s="39"/>
      <c r="H18" s="39"/>
    </row>
    <row r="19" spans="1:8" ht="36" customHeight="1" x14ac:dyDescent="0.25">
      <c r="A19" s="13" t="s">
        <v>59</v>
      </c>
      <c r="B19" s="14" t="s">
        <v>60</v>
      </c>
      <c r="C19" s="47" t="s">
        <v>61</v>
      </c>
      <c r="D19" s="39"/>
      <c r="E19" s="39"/>
      <c r="F19" s="39"/>
      <c r="G19" s="39"/>
      <c r="H19" s="39"/>
    </row>
    <row r="20" spans="1:8" ht="8.1" customHeight="1" x14ac:dyDescent="0.25"/>
    <row r="21" spans="1:8" ht="20.100000000000001" customHeight="1" x14ac:dyDescent="0.25">
      <c r="A21" s="42" t="s">
        <v>62</v>
      </c>
      <c r="B21" s="43"/>
      <c r="C21" s="43"/>
      <c r="D21" s="43"/>
      <c r="E21" s="43"/>
      <c r="F21" s="43"/>
      <c r="G21" s="43"/>
      <c r="H21" s="43"/>
    </row>
    <row r="22" spans="1:8" ht="27.95" customHeight="1" x14ac:dyDescent="0.25">
      <c r="A22" s="40" t="s">
        <v>63</v>
      </c>
      <c r="B22" s="39"/>
      <c r="C22" s="39"/>
      <c r="D22" s="39"/>
      <c r="E22" s="39"/>
      <c r="F22" s="39"/>
      <c r="G22" s="39"/>
      <c r="H22" s="39"/>
    </row>
    <row r="23" spans="1:8" ht="27.95" customHeight="1" x14ac:dyDescent="0.25">
      <c r="A23" s="44" t="s">
        <v>64</v>
      </c>
      <c r="B23" s="39"/>
      <c r="C23" s="39"/>
      <c r="D23" s="39"/>
      <c r="E23" s="39"/>
      <c r="F23" s="39"/>
      <c r="G23" s="39"/>
      <c r="H23" s="39"/>
    </row>
    <row r="24" spans="1:8" ht="27.95" customHeight="1" x14ac:dyDescent="0.25">
      <c r="A24" s="40" t="s">
        <v>65</v>
      </c>
      <c r="B24" s="39"/>
      <c r="C24" s="39"/>
      <c r="D24" s="39"/>
      <c r="E24" s="39"/>
      <c r="F24" s="39"/>
      <c r="G24" s="39"/>
      <c r="H24" s="39"/>
    </row>
    <row r="25" spans="1:8" ht="27.95" customHeight="1" x14ac:dyDescent="0.25">
      <c r="A25" s="44" t="s">
        <v>66</v>
      </c>
      <c r="B25" s="39"/>
      <c r="C25" s="39"/>
      <c r="D25" s="39"/>
      <c r="E25" s="39"/>
      <c r="F25" s="39"/>
      <c r="G25" s="39"/>
      <c r="H25" s="39"/>
    </row>
    <row r="26" spans="1:8" ht="27.95" customHeight="1" x14ac:dyDescent="0.25">
      <c r="A26" s="40" t="s">
        <v>67</v>
      </c>
      <c r="B26" s="39"/>
      <c r="C26" s="39"/>
      <c r="D26" s="39"/>
      <c r="E26" s="39"/>
      <c r="F26" s="39"/>
      <c r="G26" s="39"/>
      <c r="H26" s="39"/>
    </row>
    <row r="27" spans="1:8" ht="27.95" customHeight="1" x14ac:dyDescent="0.25">
      <c r="A27" s="44" t="s">
        <v>68</v>
      </c>
      <c r="B27" s="39"/>
      <c r="C27" s="39"/>
      <c r="D27" s="39"/>
      <c r="E27" s="39"/>
      <c r="F27" s="39"/>
      <c r="G27" s="39"/>
      <c r="H27" s="39"/>
    </row>
    <row r="28" spans="1:8" ht="27.95" customHeight="1" x14ac:dyDescent="0.25">
      <c r="A28" s="40" t="s">
        <v>69</v>
      </c>
      <c r="B28" s="39"/>
      <c r="C28" s="39"/>
      <c r="D28" s="39"/>
      <c r="E28" s="39"/>
      <c r="F28" s="39"/>
      <c r="G28" s="39"/>
      <c r="H28" s="39"/>
    </row>
    <row r="29" spans="1:8" ht="27.95" customHeight="1" x14ac:dyDescent="0.25">
      <c r="A29" s="44" t="s">
        <v>70</v>
      </c>
      <c r="B29" s="39"/>
      <c r="C29" s="39"/>
      <c r="D29" s="39"/>
      <c r="E29" s="39"/>
      <c r="F29" s="39"/>
      <c r="G29" s="39"/>
      <c r="H29" s="39"/>
    </row>
  </sheetData>
  <mergeCells count="22">
    <mergeCell ref="A1:H2"/>
    <mergeCell ref="A22:H22"/>
    <mergeCell ref="C15:H15"/>
    <mergeCell ref="A4:H4"/>
    <mergeCell ref="A29:H29"/>
    <mergeCell ref="A28:H28"/>
    <mergeCell ref="A27:H27"/>
    <mergeCell ref="A3:H3"/>
    <mergeCell ref="C19:H19"/>
    <mergeCell ref="A21:H21"/>
    <mergeCell ref="A26:H26"/>
    <mergeCell ref="A14:H14"/>
    <mergeCell ref="C18:H18"/>
    <mergeCell ref="A5:H5"/>
    <mergeCell ref="A23:H23"/>
    <mergeCell ref="C16:H16"/>
    <mergeCell ref="A24:H24"/>
    <mergeCell ref="B15"/>
    <mergeCell ref="A6:H6"/>
    <mergeCell ref="A25:H25"/>
    <mergeCell ref="A15"/>
    <mergeCell ref="C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4"/>
  <sheetViews>
    <sheetView showGridLines="0" tabSelected="1" workbookViewId="0">
      <pane ySplit="4" topLeftCell="A15" activePane="bottomLeft" state="frozen"/>
      <selection pane="bottomLeft" activeCell="N26" sqref="N26"/>
    </sheetView>
  </sheetViews>
  <sheetFormatPr baseColWidth="10" defaultColWidth="9.140625" defaultRowHeight="15" x14ac:dyDescent="0.25"/>
  <cols>
    <col min="1" max="1" width="24" customWidth="1"/>
    <col min="2" max="2" width="16" customWidth="1"/>
    <col min="3" max="8" width="18" customWidth="1"/>
  </cols>
  <sheetData>
    <row r="1" spans="1:8" ht="26.1" customHeight="1" x14ac:dyDescent="0.25">
      <c r="A1" s="55" t="s">
        <v>0</v>
      </c>
      <c r="B1" s="43"/>
      <c r="C1" s="43"/>
      <c r="D1" s="43"/>
      <c r="E1" s="43"/>
      <c r="F1" s="43"/>
      <c r="G1" s="43"/>
      <c r="H1" s="43"/>
    </row>
    <row r="2" spans="1:8" ht="27.95" customHeight="1" x14ac:dyDescent="0.25">
      <c r="A2" s="52" t="s">
        <v>71</v>
      </c>
      <c r="B2" s="43"/>
      <c r="C2" s="43"/>
      <c r="D2" s="43"/>
      <c r="E2" s="43"/>
      <c r="F2" s="43"/>
      <c r="G2" s="43"/>
      <c r="H2" s="43"/>
    </row>
    <row r="3" spans="1:8" ht="21.95" customHeight="1" x14ac:dyDescent="0.25">
      <c r="A3" s="41" t="s">
        <v>72</v>
      </c>
      <c r="B3" s="39"/>
      <c r="C3" s="15" t="s">
        <v>73</v>
      </c>
      <c r="D3" s="51" t="s">
        <v>74</v>
      </c>
      <c r="E3" s="39"/>
      <c r="F3" s="39"/>
      <c r="G3" s="39"/>
      <c r="H3" s="53" t="s">
        <v>75</v>
      </c>
    </row>
    <row r="4" spans="1:8" ht="39.950000000000003" customHeight="1" x14ac:dyDescent="0.25">
      <c r="A4" s="16" t="s">
        <v>76</v>
      </c>
      <c r="B4" s="16" t="s">
        <v>77</v>
      </c>
      <c r="C4" s="17" t="s">
        <v>78</v>
      </c>
      <c r="D4" s="18" t="s">
        <v>79</v>
      </c>
      <c r="E4" s="18" t="s">
        <v>80</v>
      </c>
      <c r="F4" s="18" t="s">
        <v>81</v>
      </c>
      <c r="G4" s="18" t="s">
        <v>82</v>
      </c>
      <c r="H4" s="19" t="s">
        <v>83</v>
      </c>
    </row>
    <row r="5" spans="1:8" ht="18" customHeight="1" x14ac:dyDescent="0.25">
      <c r="A5" s="20" t="s">
        <v>84</v>
      </c>
      <c r="B5" s="20" t="s">
        <v>84</v>
      </c>
      <c r="C5" s="21"/>
      <c r="D5" s="21"/>
      <c r="E5" s="21"/>
      <c r="F5" s="21"/>
      <c r="G5" s="21"/>
      <c r="H5" s="22" t="str">
        <f t="shared" ref="H5:H36" si="0">IF(D5&gt;0,LN(D5),"")</f>
        <v/>
      </c>
    </row>
    <row r="6" spans="1:8" ht="18" customHeight="1" x14ac:dyDescent="0.25">
      <c r="A6" s="23" t="s">
        <v>85</v>
      </c>
      <c r="B6" s="23" t="s">
        <v>84</v>
      </c>
      <c r="C6" s="21"/>
      <c r="D6" s="21"/>
      <c r="E6" s="21"/>
      <c r="F6" s="21"/>
      <c r="G6" s="21"/>
      <c r="H6" s="22" t="str">
        <f t="shared" si="0"/>
        <v/>
      </c>
    </row>
    <row r="7" spans="1:8" ht="18" customHeight="1" x14ac:dyDescent="0.25">
      <c r="A7" s="20" t="s">
        <v>86</v>
      </c>
      <c r="B7" s="20" t="s">
        <v>84</v>
      </c>
      <c r="C7" s="21"/>
      <c r="D7" s="21"/>
      <c r="E7" s="21"/>
      <c r="F7" s="21"/>
      <c r="G7" s="21"/>
      <c r="H7" s="22" t="str">
        <f t="shared" si="0"/>
        <v/>
      </c>
    </row>
    <row r="8" spans="1:8" ht="18" customHeight="1" x14ac:dyDescent="0.25">
      <c r="A8" s="23" t="s">
        <v>87</v>
      </c>
      <c r="B8" s="23" t="s">
        <v>84</v>
      </c>
      <c r="C8" s="21"/>
      <c r="D8" s="21"/>
      <c r="E8" s="21"/>
      <c r="F8" s="21"/>
      <c r="G8" s="21"/>
      <c r="H8" s="22" t="str">
        <f t="shared" si="0"/>
        <v/>
      </c>
    </row>
    <row r="9" spans="1:8" ht="18" customHeight="1" x14ac:dyDescent="0.25">
      <c r="A9" s="20" t="s">
        <v>88</v>
      </c>
      <c r="B9" s="20" t="s">
        <v>84</v>
      </c>
      <c r="C9" s="21"/>
      <c r="D9" s="21"/>
      <c r="E9" s="21"/>
      <c r="F9" s="21"/>
      <c r="G9" s="21"/>
      <c r="H9" s="22" t="str">
        <f t="shared" si="0"/>
        <v/>
      </c>
    </row>
    <row r="10" spans="1:8" ht="18" customHeight="1" x14ac:dyDescent="0.25">
      <c r="A10" s="23" t="s">
        <v>89</v>
      </c>
      <c r="B10" s="23" t="s">
        <v>84</v>
      </c>
      <c r="C10" s="21"/>
      <c r="D10" s="21"/>
      <c r="E10" s="21"/>
      <c r="F10" s="21"/>
      <c r="G10" s="21"/>
      <c r="H10" s="22" t="str">
        <f t="shared" si="0"/>
        <v/>
      </c>
    </row>
    <row r="11" spans="1:8" ht="18" customHeight="1" x14ac:dyDescent="0.25">
      <c r="A11" s="20" t="s">
        <v>90</v>
      </c>
      <c r="B11" s="20" t="s">
        <v>84</v>
      </c>
      <c r="C11" s="21"/>
      <c r="D11" s="21"/>
      <c r="E11" s="21"/>
      <c r="F11" s="21"/>
      <c r="G11" s="21"/>
      <c r="H11" s="22" t="str">
        <f t="shared" si="0"/>
        <v/>
      </c>
    </row>
    <row r="12" spans="1:8" ht="18" customHeight="1" x14ac:dyDescent="0.25">
      <c r="A12" s="23" t="s">
        <v>91</v>
      </c>
      <c r="B12" s="23" t="s">
        <v>84</v>
      </c>
      <c r="C12" s="21"/>
      <c r="D12" s="21"/>
      <c r="E12" s="21"/>
      <c r="F12" s="21"/>
      <c r="G12" s="21"/>
      <c r="H12" s="22" t="str">
        <f t="shared" si="0"/>
        <v/>
      </c>
    </row>
    <row r="13" spans="1:8" ht="18" customHeight="1" x14ac:dyDescent="0.25">
      <c r="A13" s="20" t="s">
        <v>92</v>
      </c>
      <c r="B13" s="20" t="s">
        <v>84</v>
      </c>
      <c r="C13" s="21"/>
      <c r="D13" s="21"/>
      <c r="E13" s="21"/>
      <c r="F13" s="21"/>
      <c r="G13" s="21"/>
      <c r="H13" s="22" t="str">
        <f t="shared" si="0"/>
        <v/>
      </c>
    </row>
    <row r="14" spans="1:8" ht="18" customHeight="1" x14ac:dyDescent="0.25">
      <c r="A14" s="23" t="s">
        <v>93</v>
      </c>
      <c r="B14" s="23" t="s">
        <v>84</v>
      </c>
      <c r="C14" s="21"/>
      <c r="D14" s="21"/>
      <c r="E14" s="21"/>
      <c r="F14" s="21"/>
      <c r="G14" s="21"/>
      <c r="H14" s="22" t="str">
        <f t="shared" si="0"/>
        <v/>
      </c>
    </row>
    <row r="15" spans="1:8" ht="18" customHeight="1" x14ac:dyDescent="0.25">
      <c r="A15" s="20" t="s">
        <v>94</v>
      </c>
      <c r="B15" s="20" t="s">
        <v>94</v>
      </c>
      <c r="C15" s="21"/>
      <c r="D15" s="21"/>
      <c r="E15" s="21"/>
      <c r="F15" s="21"/>
      <c r="G15" s="21"/>
      <c r="H15" s="22" t="str">
        <f t="shared" si="0"/>
        <v/>
      </c>
    </row>
    <row r="16" spans="1:8" ht="18" customHeight="1" x14ac:dyDescent="0.25">
      <c r="A16" s="23" t="s">
        <v>95</v>
      </c>
      <c r="B16" s="23" t="s">
        <v>94</v>
      </c>
      <c r="C16" s="21"/>
      <c r="D16" s="21"/>
      <c r="E16" s="21"/>
      <c r="F16" s="21"/>
      <c r="G16" s="21"/>
      <c r="H16" s="22" t="str">
        <f t="shared" si="0"/>
        <v/>
      </c>
    </row>
    <row r="17" spans="1:8" ht="18" customHeight="1" x14ac:dyDescent="0.25">
      <c r="A17" s="20" t="s">
        <v>96</v>
      </c>
      <c r="B17" s="20" t="s">
        <v>94</v>
      </c>
      <c r="C17" s="21"/>
      <c r="D17" s="21"/>
      <c r="E17" s="21"/>
      <c r="F17" s="21"/>
      <c r="G17" s="21"/>
      <c r="H17" s="22" t="str">
        <f t="shared" si="0"/>
        <v/>
      </c>
    </row>
    <row r="18" spans="1:8" ht="18" customHeight="1" x14ac:dyDescent="0.25">
      <c r="A18" s="23" t="s">
        <v>97</v>
      </c>
      <c r="B18" s="23" t="s">
        <v>94</v>
      </c>
      <c r="C18" s="21"/>
      <c r="D18" s="21"/>
      <c r="E18" s="21"/>
      <c r="F18" s="21"/>
      <c r="G18" s="21"/>
      <c r="H18" s="22" t="str">
        <f t="shared" si="0"/>
        <v/>
      </c>
    </row>
    <row r="19" spans="1:8" ht="18" customHeight="1" x14ac:dyDescent="0.25">
      <c r="A19" s="20" t="s">
        <v>98</v>
      </c>
      <c r="B19" s="20" t="s">
        <v>98</v>
      </c>
      <c r="C19" s="21"/>
      <c r="D19" s="21"/>
      <c r="E19" s="21"/>
      <c r="F19" s="21"/>
      <c r="G19" s="21"/>
      <c r="H19" s="22" t="str">
        <f t="shared" si="0"/>
        <v/>
      </c>
    </row>
    <row r="20" spans="1:8" ht="18" customHeight="1" x14ac:dyDescent="0.25">
      <c r="A20" s="23" t="s">
        <v>99</v>
      </c>
      <c r="B20" s="23" t="s">
        <v>98</v>
      </c>
      <c r="C20" s="21"/>
      <c r="D20" s="21"/>
      <c r="E20" s="21"/>
      <c r="F20" s="21"/>
      <c r="G20" s="21"/>
      <c r="H20" s="22" t="str">
        <f t="shared" si="0"/>
        <v/>
      </c>
    </row>
    <row r="21" spans="1:8" ht="18" customHeight="1" x14ac:dyDescent="0.25">
      <c r="A21" s="20" t="s">
        <v>100</v>
      </c>
      <c r="B21" s="20" t="s">
        <v>98</v>
      </c>
      <c r="C21" s="21"/>
      <c r="D21" s="21"/>
      <c r="E21" s="21"/>
      <c r="F21" s="21"/>
      <c r="G21" s="21"/>
      <c r="H21" s="22" t="str">
        <f t="shared" si="0"/>
        <v/>
      </c>
    </row>
    <row r="22" spans="1:8" ht="18" customHeight="1" x14ac:dyDescent="0.25">
      <c r="A22" s="23" t="s">
        <v>101</v>
      </c>
      <c r="B22" s="23" t="s">
        <v>98</v>
      </c>
      <c r="C22" s="21"/>
      <c r="D22" s="21"/>
      <c r="E22" s="21"/>
      <c r="F22" s="21"/>
      <c r="G22" s="21"/>
      <c r="H22" s="22" t="str">
        <f t="shared" si="0"/>
        <v/>
      </c>
    </row>
    <row r="23" spans="1:8" ht="18" customHeight="1" x14ac:dyDescent="0.25">
      <c r="A23" s="20" t="s">
        <v>102</v>
      </c>
      <c r="B23" s="20" t="s">
        <v>102</v>
      </c>
      <c r="C23" s="21"/>
      <c r="D23" s="21"/>
      <c r="E23" s="21"/>
      <c r="F23" s="21"/>
      <c r="G23" s="21"/>
      <c r="H23" s="22" t="str">
        <f t="shared" si="0"/>
        <v/>
      </c>
    </row>
    <row r="24" spans="1:8" ht="18" customHeight="1" x14ac:dyDescent="0.25">
      <c r="A24" s="23" t="s">
        <v>103</v>
      </c>
      <c r="B24" s="23" t="s">
        <v>102</v>
      </c>
      <c r="C24" s="21"/>
      <c r="D24" s="21"/>
      <c r="E24" s="21"/>
      <c r="F24" s="21"/>
      <c r="G24" s="21"/>
      <c r="H24" s="22" t="str">
        <f t="shared" si="0"/>
        <v/>
      </c>
    </row>
    <row r="25" spans="1:8" ht="18" customHeight="1" x14ac:dyDescent="0.25">
      <c r="A25" s="20" t="s">
        <v>104</v>
      </c>
      <c r="B25" s="20" t="s">
        <v>105</v>
      </c>
      <c r="C25" s="21"/>
      <c r="D25" s="21"/>
      <c r="E25" s="21"/>
      <c r="F25" s="21"/>
      <c r="G25" s="21"/>
      <c r="H25" s="22" t="str">
        <f t="shared" si="0"/>
        <v/>
      </c>
    </row>
    <row r="26" spans="1:8" ht="18" customHeight="1" x14ac:dyDescent="0.25">
      <c r="A26" s="23" t="s">
        <v>106</v>
      </c>
      <c r="B26" s="23" t="s">
        <v>105</v>
      </c>
      <c r="C26" s="21"/>
      <c r="D26" s="21"/>
      <c r="E26" s="21"/>
      <c r="F26" s="21"/>
      <c r="G26" s="21"/>
      <c r="H26" s="22" t="str">
        <f t="shared" si="0"/>
        <v/>
      </c>
    </row>
    <row r="27" spans="1:8" ht="18" customHeight="1" x14ac:dyDescent="0.25">
      <c r="A27" s="20" t="s">
        <v>107</v>
      </c>
      <c r="B27" s="20" t="s">
        <v>105</v>
      </c>
      <c r="C27" s="21"/>
      <c r="D27" s="21"/>
      <c r="E27" s="21"/>
      <c r="F27" s="21"/>
      <c r="G27" s="21"/>
      <c r="H27" s="22" t="str">
        <f t="shared" si="0"/>
        <v/>
      </c>
    </row>
    <row r="28" spans="1:8" ht="18" customHeight="1" x14ac:dyDescent="0.25">
      <c r="A28" s="23" t="s">
        <v>108</v>
      </c>
      <c r="B28" s="23" t="s">
        <v>105</v>
      </c>
      <c r="C28" s="21"/>
      <c r="D28" s="21"/>
      <c r="E28" s="21"/>
      <c r="F28" s="21"/>
      <c r="G28" s="21"/>
      <c r="H28" s="22" t="str">
        <f t="shared" si="0"/>
        <v/>
      </c>
    </row>
    <row r="29" spans="1:8" ht="18" customHeight="1" x14ac:dyDescent="0.25">
      <c r="A29" s="20" t="s">
        <v>109</v>
      </c>
      <c r="B29" s="20" t="s">
        <v>105</v>
      </c>
      <c r="C29" s="21"/>
      <c r="D29" s="21"/>
      <c r="E29" s="21"/>
      <c r="F29" s="21"/>
      <c r="G29" s="21"/>
      <c r="H29" s="22" t="str">
        <f t="shared" si="0"/>
        <v/>
      </c>
    </row>
    <row r="30" spans="1:8" ht="18" customHeight="1" x14ac:dyDescent="0.25">
      <c r="A30" s="23" t="s">
        <v>110</v>
      </c>
      <c r="B30" s="23" t="s">
        <v>110</v>
      </c>
      <c r="C30" s="21"/>
      <c r="D30" s="21"/>
      <c r="E30" s="21"/>
      <c r="F30" s="21"/>
      <c r="G30" s="21"/>
      <c r="H30" s="22" t="str">
        <f t="shared" si="0"/>
        <v/>
      </c>
    </row>
    <row r="31" spans="1:8" ht="18" customHeight="1" x14ac:dyDescent="0.25">
      <c r="A31" s="20" t="s">
        <v>111</v>
      </c>
      <c r="B31" s="20" t="s">
        <v>110</v>
      </c>
      <c r="C31" s="21"/>
      <c r="D31" s="21"/>
      <c r="E31" s="21"/>
      <c r="F31" s="21"/>
      <c r="G31" s="21"/>
      <c r="H31" s="22" t="str">
        <f t="shared" si="0"/>
        <v/>
      </c>
    </row>
    <row r="32" spans="1:8" ht="18" customHeight="1" x14ac:dyDescent="0.25">
      <c r="A32" s="23" t="s">
        <v>112</v>
      </c>
      <c r="B32" s="23" t="s">
        <v>110</v>
      </c>
      <c r="C32" s="21"/>
      <c r="D32" s="21"/>
      <c r="E32" s="21"/>
      <c r="F32" s="21"/>
      <c r="G32" s="21"/>
      <c r="H32" s="22" t="str">
        <f t="shared" si="0"/>
        <v/>
      </c>
    </row>
    <row r="33" spans="1:8" ht="18" customHeight="1" x14ac:dyDescent="0.25">
      <c r="A33" s="20" t="s">
        <v>113</v>
      </c>
      <c r="B33" s="20" t="s">
        <v>110</v>
      </c>
      <c r="C33" s="21"/>
      <c r="D33" s="21"/>
      <c r="E33" s="21"/>
      <c r="F33" s="21"/>
      <c r="G33" s="21"/>
      <c r="H33" s="22" t="str">
        <f t="shared" si="0"/>
        <v/>
      </c>
    </row>
    <row r="34" spans="1:8" ht="18" customHeight="1" x14ac:dyDescent="0.25">
      <c r="A34" s="23" t="s">
        <v>114</v>
      </c>
      <c r="B34" s="23" t="s">
        <v>110</v>
      </c>
      <c r="C34" s="21"/>
      <c r="D34" s="21"/>
      <c r="E34" s="21"/>
      <c r="F34" s="21"/>
      <c r="G34" s="21"/>
      <c r="H34" s="22" t="str">
        <f t="shared" si="0"/>
        <v/>
      </c>
    </row>
    <row r="35" spans="1:8" ht="18" customHeight="1" x14ac:dyDescent="0.25">
      <c r="A35" s="20" t="s">
        <v>115</v>
      </c>
      <c r="B35" s="20" t="s">
        <v>115</v>
      </c>
      <c r="C35" s="21"/>
      <c r="D35" s="21"/>
      <c r="E35" s="21"/>
      <c r="F35" s="21"/>
      <c r="G35" s="21"/>
      <c r="H35" s="22" t="str">
        <f t="shared" si="0"/>
        <v/>
      </c>
    </row>
    <row r="36" spans="1:8" ht="18" customHeight="1" x14ac:dyDescent="0.25">
      <c r="A36" s="23" t="s">
        <v>116</v>
      </c>
      <c r="B36" s="23" t="s">
        <v>115</v>
      </c>
      <c r="C36" s="21"/>
      <c r="D36" s="21"/>
      <c r="E36" s="21"/>
      <c r="F36" s="21"/>
      <c r="G36" s="21"/>
      <c r="H36" s="22" t="str">
        <f t="shared" si="0"/>
        <v/>
      </c>
    </row>
    <row r="37" spans="1:8" ht="12.75" customHeight="1" x14ac:dyDescent="0.25">
      <c r="A37" s="8"/>
      <c r="B37" s="8"/>
      <c r="C37" s="8"/>
      <c r="D37" s="8"/>
      <c r="E37" s="8"/>
      <c r="F37" s="8"/>
      <c r="G37" s="8"/>
      <c r="H37" s="8"/>
    </row>
    <row r="38" spans="1:8" ht="18" customHeight="1" x14ac:dyDescent="0.25">
      <c r="A38" s="24" t="s">
        <v>117</v>
      </c>
      <c r="B38" s="25"/>
      <c r="C38" s="26">
        <f>COUNTA(A5:A36)</f>
        <v>32</v>
      </c>
      <c r="D38" s="26">
        <f>COUNTA(D5:D36)</f>
        <v>0</v>
      </c>
      <c r="E38" s="26">
        <f>COUNTA(E5:E36)</f>
        <v>0</v>
      </c>
      <c r="F38" s="26">
        <f>COUNTA(F5:F36)</f>
        <v>0</v>
      </c>
      <c r="G38" s="26">
        <f>COUNTA(G5:G36)</f>
        <v>0</v>
      </c>
      <c r="H38" s="26">
        <f>COUNTA(H5:H36)</f>
        <v>32</v>
      </c>
    </row>
    <row r="39" spans="1:8" ht="18" customHeight="1" x14ac:dyDescent="0.25">
      <c r="A39" s="24" t="s">
        <v>118</v>
      </c>
      <c r="B39" s="25"/>
      <c r="C39" s="26" t="str">
        <f t="shared" ref="C39:H39" si="1">IFERROR(AVERAGE(C5:C36),"")</f>
        <v/>
      </c>
      <c r="D39" s="26" t="str">
        <f t="shared" si="1"/>
        <v/>
      </c>
      <c r="E39" s="26" t="str">
        <f t="shared" si="1"/>
        <v/>
      </c>
      <c r="F39" s="26" t="str">
        <f t="shared" si="1"/>
        <v/>
      </c>
      <c r="G39" s="26" t="str">
        <f t="shared" si="1"/>
        <v/>
      </c>
      <c r="H39" s="26" t="str">
        <f t="shared" si="1"/>
        <v/>
      </c>
    </row>
    <row r="40" spans="1:8" ht="18" customHeight="1" x14ac:dyDescent="0.25">
      <c r="A40" s="24" t="s">
        <v>119</v>
      </c>
      <c r="B40" s="25"/>
      <c r="C40" s="26" t="str">
        <f t="shared" ref="C40:H40" si="2">IFERROR(STDEV(C5:C36),"")</f>
        <v/>
      </c>
      <c r="D40" s="26" t="str">
        <f t="shared" si="2"/>
        <v/>
      </c>
      <c r="E40" s="26" t="str">
        <f t="shared" si="2"/>
        <v/>
      </c>
      <c r="F40" s="26" t="str">
        <f t="shared" si="2"/>
        <v/>
      </c>
      <c r="G40" s="26" t="str">
        <f t="shared" si="2"/>
        <v/>
      </c>
      <c r="H40" s="26" t="str">
        <f t="shared" si="2"/>
        <v/>
      </c>
    </row>
    <row r="41" spans="1:8" ht="18" customHeight="1" x14ac:dyDescent="0.25">
      <c r="A41" s="24" t="s">
        <v>120</v>
      </c>
      <c r="B41" s="25"/>
      <c r="C41" s="26">
        <f t="shared" ref="C41:H41" si="3">IFERROR(MIN(C5:C36),0)</f>
        <v>0</v>
      </c>
      <c r="D41" s="26">
        <f t="shared" si="3"/>
        <v>0</v>
      </c>
      <c r="E41" s="26">
        <f t="shared" si="3"/>
        <v>0</v>
      </c>
      <c r="F41" s="26">
        <f t="shared" si="3"/>
        <v>0</v>
      </c>
      <c r="G41" s="26">
        <f t="shared" si="3"/>
        <v>0</v>
      </c>
      <c r="H41" s="26">
        <f t="shared" si="3"/>
        <v>0</v>
      </c>
    </row>
    <row r="42" spans="1:8" ht="18" customHeight="1" x14ac:dyDescent="0.25">
      <c r="A42" s="24" t="s">
        <v>121</v>
      </c>
      <c r="B42" s="25"/>
      <c r="C42" s="26">
        <f t="shared" ref="C42:H42" si="4">IFERROR(MAX(C5:C36),0)</f>
        <v>0</v>
      </c>
      <c r="D42" s="26">
        <f t="shared" si="4"/>
        <v>0</v>
      </c>
      <c r="E42" s="26">
        <f t="shared" si="4"/>
        <v>0</v>
      </c>
      <c r="F42" s="26">
        <f t="shared" si="4"/>
        <v>0</v>
      </c>
      <c r="G42" s="26">
        <f t="shared" si="4"/>
        <v>0</v>
      </c>
      <c r="H42" s="26">
        <f t="shared" si="4"/>
        <v>0</v>
      </c>
    </row>
    <row r="44" spans="1:8" ht="27.95" customHeight="1" x14ac:dyDescent="0.25">
      <c r="A44" s="54" t="s">
        <v>122</v>
      </c>
      <c r="B44" s="43"/>
      <c r="C44" s="43"/>
      <c r="D44" s="43"/>
      <c r="E44" s="43"/>
      <c r="F44" s="43"/>
      <c r="G44" s="43"/>
      <c r="H44" s="43"/>
    </row>
  </sheetData>
  <mergeCells count="6">
    <mergeCell ref="D3:G3"/>
    <mergeCell ref="A2:H2"/>
    <mergeCell ref="H3"/>
    <mergeCell ref="A44:H44"/>
    <mergeCell ref="A1:H1"/>
    <mergeCell ref="A3:B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8"/>
  <sheetViews>
    <sheetView showGridLines="0" workbookViewId="0"/>
  </sheetViews>
  <sheetFormatPr baseColWidth="10" defaultColWidth="9.140625" defaultRowHeight="15" x14ac:dyDescent="0.25"/>
  <cols>
    <col min="1" max="1" width="8" customWidth="1"/>
    <col min="2" max="2" width="30" customWidth="1"/>
    <col min="3" max="3" width="72" customWidth="1"/>
  </cols>
  <sheetData>
    <row r="1" spans="1:3" ht="26.1" customHeight="1" x14ac:dyDescent="0.25">
      <c r="A1" s="55" t="s">
        <v>123</v>
      </c>
      <c r="B1" s="43"/>
      <c r="C1" s="43"/>
    </row>
    <row r="2" spans="1:3" ht="24" customHeight="1" x14ac:dyDescent="0.25">
      <c r="A2" s="56" t="s">
        <v>124</v>
      </c>
      <c r="B2" s="39"/>
      <c r="C2" s="39"/>
    </row>
    <row r="3" spans="1:3" ht="18" customHeight="1" x14ac:dyDescent="0.25">
      <c r="A3" s="27" t="s">
        <v>125</v>
      </c>
      <c r="B3" s="27" t="s">
        <v>126</v>
      </c>
      <c r="C3" s="27" t="s">
        <v>127</v>
      </c>
    </row>
    <row r="4" spans="1:3" ht="44.1" customHeight="1" x14ac:dyDescent="0.25">
      <c r="A4" s="28" t="s">
        <v>128</v>
      </c>
      <c r="B4" s="29" t="s">
        <v>129</v>
      </c>
      <c r="C4" s="30" t="s">
        <v>130</v>
      </c>
    </row>
    <row r="5" spans="1:3" ht="44.1" customHeight="1" x14ac:dyDescent="0.25">
      <c r="A5" s="31" t="s">
        <v>131</v>
      </c>
      <c r="B5" s="32" t="s">
        <v>132</v>
      </c>
      <c r="C5" s="33" t="s">
        <v>133</v>
      </c>
    </row>
    <row r="6" spans="1:3" ht="44.1" customHeight="1" x14ac:dyDescent="0.25">
      <c r="A6" s="28" t="s">
        <v>134</v>
      </c>
      <c r="B6" s="29" t="s">
        <v>135</v>
      </c>
      <c r="C6" s="30" t="s">
        <v>136</v>
      </c>
    </row>
    <row r="7" spans="1:3" ht="44.1" customHeight="1" x14ac:dyDescent="0.25">
      <c r="A7" s="31" t="s">
        <v>137</v>
      </c>
      <c r="B7" s="32" t="s">
        <v>138</v>
      </c>
      <c r="C7" s="33" t="s">
        <v>139</v>
      </c>
    </row>
    <row r="8" spans="1:3" ht="44.1" customHeight="1" x14ac:dyDescent="0.25">
      <c r="A8" s="28" t="s">
        <v>140</v>
      </c>
      <c r="B8" s="29" t="s">
        <v>141</v>
      </c>
      <c r="C8" s="30" t="s">
        <v>142</v>
      </c>
    </row>
    <row r="9" spans="1:3" ht="6" customHeight="1" x14ac:dyDescent="0.25">
      <c r="A9" s="8"/>
      <c r="B9" s="8"/>
      <c r="C9" s="8"/>
    </row>
    <row r="10" spans="1:3" ht="24" customHeight="1" x14ac:dyDescent="0.25">
      <c r="A10" s="56" t="s">
        <v>143</v>
      </c>
      <c r="B10" s="39"/>
      <c r="C10" s="39"/>
    </row>
    <row r="11" spans="1:3" ht="18" customHeight="1" x14ac:dyDescent="0.25">
      <c r="A11" s="27" t="s">
        <v>125</v>
      </c>
      <c r="B11" s="27" t="s">
        <v>126</v>
      </c>
      <c r="C11" s="27" t="s">
        <v>127</v>
      </c>
    </row>
    <row r="12" spans="1:3" ht="44.1" customHeight="1" x14ac:dyDescent="0.25">
      <c r="A12" s="28" t="s">
        <v>128</v>
      </c>
      <c r="B12" s="29" t="s">
        <v>144</v>
      </c>
      <c r="C12" s="30" t="s">
        <v>145</v>
      </c>
    </row>
    <row r="13" spans="1:3" ht="44.1" customHeight="1" x14ac:dyDescent="0.25">
      <c r="A13" s="31" t="s">
        <v>131</v>
      </c>
      <c r="B13" s="32" t="s">
        <v>146</v>
      </c>
      <c r="C13" s="33" t="s">
        <v>147</v>
      </c>
    </row>
    <row r="14" spans="1:3" ht="44.1" customHeight="1" x14ac:dyDescent="0.25">
      <c r="A14" s="28" t="s">
        <v>134</v>
      </c>
      <c r="B14" s="29" t="s">
        <v>148</v>
      </c>
      <c r="C14" s="30" t="s">
        <v>149</v>
      </c>
    </row>
    <row r="15" spans="1:3" ht="44.1" customHeight="1" x14ac:dyDescent="0.25">
      <c r="A15" s="31" t="s">
        <v>137</v>
      </c>
      <c r="B15" s="32" t="s">
        <v>150</v>
      </c>
      <c r="C15" s="33" t="s">
        <v>151</v>
      </c>
    </row>
    <row r="16" spans="1:3" ht="44.1" customHeight="1" x14ac:dyDescent="0.25">
      <c r="A16" s="28" t="s">
        <v>140</v>
      </c>
      <c r="B16" s="29" t="s">
        <v>152</v>
      </c>
      <c r="C16" s="30" t="s">
        <v>153</v>
      </c>
    </row>
    <row r="17" spans="1:3" ht="6" customHeight="1" x14ac:dyDescent="0.25">
      <c r="A17" s="8"/>
      <c r="B17" s="8"/>
      <c r="C17" s="8"/>
    </row>
    <row r="18" spans="1:3" ht="24" customHeight="1" x14ac:dyDescent="0.25">
      <c r="A18" s="56" t="s">
        <v>154</v>
      </c>
      <c r="B18" s="39"/>
      <c r="C18" s="39"/>
    </row>
    <row r="19" spans="1:3" ht="18" customHeight="1" x14ac:dyDescent="0.25">
      <c r="A19" s="27" t="s">
        <v>125</v>
      </c>
      <c r="B19" s="27" t="s">
        <v>126</v>
      </c>
      <c r="C19" s="27" t="s">
        <v>127</v>
      </c>
    </row>
    <row r="20" spans="1:3" ht="44.1" customHeight="1" x14ac:dyDescent="0.25">
      <c r="A20" s="28" t="s">
        <v>128</v>
      </c>
      <c r="B20" s="29" t="s">
        <v>155</v>
      </c>
      <c r="C20" s="30" t="s">
        <v>156</v>
      </c>
    </row>
    <row r="21" spans="1:3" ht="44.1" customHeight="1" x14ac:dyDescent="0.25">
      <c r="A21" s="31" t="s">
        <v>131</v>
      </c>
      <c r="B21" s="32" t="s">
        <v>157</v>
      </c>
      <c r="C21" s="33" t="s">
        <v>158</v>
      </c>
    </row>
    <row r="22" spans="1:3" ht="44.1" customHeight="1" x14ac:dyDescent="0.25">
      <c r="A22" s="28" t="s">
        <v>134</v>
      </c>
      <c r="B22" s="29" t="s">
        <v>159</v>
      </c>
      <c r="C22" s="30" t="s">
        <v>160</v>
      </c>
    </row>
    <row r="23" spans="1:3" ht="44.1" customHeight="1" x14ac:dyDescent="0.25">
      <c r="A23" s="31" t="s">
        <v>137</v>
      </c>
      <c r="B23" s="32" t="s">
        <v>161</v>
      </c>
      <c r="C23" s="33" t="s">
        <v>162</v>
      </c>
    </row>
    <row r="24" spans="1:3" ht="6" customHeight="1" x14ac:dyDescent="0.25">
      <c r="A24" s="8"/>
      <c r="B24" s="8"/>
      <c r="C24" s="8"/>
    </row>
    <row r="25" spans="1:3" ht="24" customHeight="1" x14ac:dyDescent="0.25">
      <c r="A25" s="56" t="s">
        <v>163</v>
      </c>
      <c r="B25" s="39"/>
      <c r="C25" s="39"/>
    </row>
    <row r="26" spans="1:3" ht="18" customHeight="1" x14ac:dyDescent="0.25">
      <c r="A26" s="27" t="s">
        <v>125</v>
      </c>
      <c r="B26" s="27" t="s">
        <v>126</v>
      </c>
      <c r="C26" s="27" t="s">
        <v>127</v>
      </c>
    </row>
    <row r="27" spans="1:3" ht="44.1" customHeight="1" x14ac:dyDescent="0.25">
      <c r="A27" s="28" t="s">
        <v>128</v>
      </c>
      <c r="B27" s="29" t="s">
        <v>164</v>
      </c>
      <c r="C27" s="30" t="s">
        <v>165</v>
      </c>
    </row>
    <row r="28" spans="1:3" ht="44.1" customHeight="1" x14ac:dyDescent="0.25">
      <c r="A28" s="31" t="s">
        <v>131</v>
      </c>
      <c r="B28" s="32" t="s">
        <v>166</v>
      </c>
      <c r="C28" s="33" t="s">
        <v>167</v>
      </c>
    </row>
    <row r="29" spans="1:3" ht="44.1" customHeight="1" x14ac:dyDescent="0.25">
      <c r="A29" s="28" t="s">
        <v>134</v>
      </c>
      <c r="B29" s="29" t="s">
        <v>168</v>
      </c>
      <c r="C29" s="30" t="s">
        <v>169</v>
      </c>
    </row>
    <row r="30" spans="1:3" ht="44.1" customHeight="1" x14ac:dyDescent="0.25">
      <c r="A30" s="31" t="s">
        <v>137</v>
      </c>
      <c r="B30" s="32" t="s">
        <v>170</v>
      </c>
      <c r="C30" s="33" t="s">
        <v>171</v>
      </c>
    </row>
    <row r="31" spans="1:3" ht="6" customHeight="1" x14ac:dyDescent="0.25">
      <c r="A31" s="8"/>
      <c r="B31" s="8"/>
      <c r="C31" s="8"/>
    </row>
    <row r="32" spans="1:3" ht="24" customHeight="1" x14ac:dyDescent="0.25">
      <c r="A32" s="56" t="s">
        <v>172</v>
      </c>
      <c r="B32" s="39"/>
      <c r="C32" s="39"/>
    </row>
    <row r="33" spans="1:3" ht="18" customHeight="1" x14ac:dyDescent="0.25">
      <c r="A33" s="27" t="s">
        <v>125</v>
      </c>
      <c r="B33" s="27" t="s">
        <v>126</v>
      </c>
      <c r="C33" s="27" t="s">
        <v>127</v>
      </c>
    </row>
    <row r="34" spans="1:3" ht="44.1" customHeight="1" x14ac:dyDescent="0.25">
      <c r="A34" s="28" t="s">
        <v>128</v>
      </c>
      <c r="B34" s="29" t="s">
        <v>155</v>
      </c>
      <c r="C34" s="30" t="s">
        <v>173</v>
      </c>
    </row>
    <row r="35" spans="1:3" ht="44.1" customHeight="1" x14ac:dyDescent="0.25">
      <c r="A35" s="31" t="s">
        <v>131</v>
      </c>
      <c r="B35" s="32" t="s">
        <v>138</v>
      </c>
      <c r="C35" s="33" t="s">
        <v>174</v>
      </c>
    </row>
    <row r="36" spans="1:3" ht="44.1" customHeight="1" x14ac:dyDescent="0.25">
      <c r="A36" s="28" t="s">
        <v>134</v>
      </c>
      <c r="B36" s="29" t="s">
        <v>175</v>
      </c>
      <c r="C36" s="30" t="s">
        <v>176</v>
      </c>
    </row>
    <row r="37" spans="1:3" ht="44.1" customHeight="1" x14ac:dyDescent="0.25">
      <c r="A37" s="31" t="s">
        <v>137</v>
      </c>
      <c r="B37" s="32" t="s">
        <v>177</v>
      </c>
      <c r="C37" s="33" t="s">
        <v>178</v>
      </c>
    </row>
    <row r="38" spans="1:3" ht="6" customHeight="1" x14ac:dyDescent="0.25"/>
  </sheetData>
  <mergeCells count="6">
    <mergeCell ref="A10:C10"/>
    <mergeCell ref="A25:C25"/>
    <mergeCell ref="A1:C1"/>
    <mergeCell ref="A32:C32"/>
    <mergeCell ref="A18:C18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1"/>
  <sheetViews>
    <sheetView showGridLines="0" workbookViewId="0"/>
  </sheetViews>
  <sheetFormatPr baseColWidth="10" defaultColWidth="9.140625" defaultRowHeight="15" x14ac:dyDescent="0.25"/>
  <cols>
    <col min="1" max="1" width="30" customWidth="1"/>
    <col min="2" max="2" width="72" customWidth="1"/>
  </cols>
  <sheetData>
    <row r="1" spans="1:2" ht="26.1" customHeight="1" x14ac:dyDescent="0.25">
      <c r="A1" s="55" t="s">
        <v>179</v>
      </c>
      <c r="B1" s="43"/>
    </row>
    <row r="2" spans="1:2" ht="21.95" customHeight="1" x14ac:dyDescent="0.25">
      <c r="A2" s="57" t="s">
        <v>180</v>
      </c>
      <c r="B2" s="39"/>
    </row>
    <row r="3" spans="1:2" ht="36" customHeight="1" x14ac:dyDescent="0.25">
      <c r="A3" s="34" t="s">
        <v>181</v>
      </c>
      <c r="B3" s="35" t="s">
        <v>182</v>
      </c>
    </row>
    <row r="4" spans="1:2" ht="36" customHeight="1" x14ac:dyDescent="0.25">
      <c r="A4" s="36" t="s">
        <v>183</v>
      </c>
      <c r="B4" s="37" t="s">
        <v>184</v>
      </c>
    </row>
    <row r="5" spans="1:2" ht="36" customHeight="1" x14ac:dyDescent="0.25">
      <c r="A5" s="34" t="s">
        <v>185</v>
      </c>
      <c r="B5" s="35" t="s">
        <v>186</v>
      </c>
    </row>
    <row r="6" spans="1:2" ht="36" customHeight="1" x14ac:dyDescent="0.25">
      <c r="A6" s="36" t="s">
        <v>187</v>
      </c>
      <c r="B6" s="37" t="s">
        <v>188</v>
      </c>
    </row>
    <row r="7" spans="1:2" ht="36" customHeight="1" x14ac:dyDescent="0.25">
      <c r="A7" s="34" t="s">
        <v>189</v>
      </c>
      <c r="B7" s="35" t="s">
        <v>190</v>
      </c>
    </row>
    <row r="8" spans="1:2" ht="36" customHeight="1" x14ac:dyDescent="0.25">
      <c r="A8" s="36" t="s">
        <v>191</v>
      </c>
      <c r="B8" s="37" t="s">
        <v>192</v>
      </c>
    </row>
    <row r="10" spans="1:2" ht="21.95" customHeight="1" x14ac:dyDescent="0.25">
      <c r="A10" s="57" t="s">
        <v>193</v>
      </c>
      <c r="B10" s="39"/>
    </row>
    <row r="11" spans="1:2" ht="36" customHeight="1" x14ac:dyDescent="0.25">
      <c r="A11" s="34" t="s">
        <v>194</v>
      </c>
      <c r="B11" s="35" t="s">
        <v>195</v>
      </c>
    </row>
    <row r="12" spans="1:2" ht="36" customHeight="1" x14ac:dyDescent="0.25">
      <c r="A12" s="36" t="s">
        <v>196</v>
      </c>
      <c r="B12" s="37" t="s">
        <v>197</v>
      </c>
    </row>
    <row r="13" spans="1:2" ht="36" customHeight="1" x14ac:dyDescent="0.25">
      <c r="A13" s="34" t="s">
        <v>198</v>
      </c>
      <c r="B13" s="35" t="s">
        <v>199</v>
      </c>
    </row>
    <row r="14" spans="1:2" ht="36" customHeight="1" x14ac:dyDescent="0.25">
      <c r="A14" s="36" t="s">
        <v>200</v>
      </c>
      <c r="B14" s="37" t="s">
        <v>201</v>
      </c>
    </row>
    <row r="15" spans="1:2" ht="36" customHeight="1" x14ac:dyDescent="0.25">
      <c r="A15" s="34" t="s">
        <v>202</v>
      </c>
      <c r="B15" s="35" t="s">
        <v>203</v>
      </c>
    </row>
    <row r="16" spans="1:2" ht="36" customHeight="1" x14ac:dyDescent="0.25">
      <c r="A16" s="36" t="s">
        <v>204</v>
      </c>
      <c r="B16" s="37" t="s">
        <v>205</v>
      </c>
    </row>
    <row r="18" spans="1:2" ht="21.95" customHeight="1" x14ac:dyDescent="0.25">
      <c r="A18" s="57" t="s">
        <v>206</v>
      </c>
      <c r="B18" s="39"/>
    </row>
    <row r="19" spans="1:2" ht="36" customHeight="1" x14ac:dyDescent="0.25">
      <c r="A19" s="34" t="s">
        <v>207</v>
      </c>
      <c r="B19" s="35" t="s">
        <v>208</v>
      </c>
    </row>
    <row r="20" spans="1:2" ht="36" customHeight="1" x14ac:dyDescent="0.25">
      <c r="A20" s="36" t="s">
        <v>209</v>
      </c>
      <c r="B20" s="37" t="s">
        <v>210</v>
      </c>
    </row>
    <row r="21" spans="1:2" ht="36" customHeight="1" x14ac:dyDescent="0.25">
      <c r="A21" s="34" t="s">
        <v>211</v>
      </c>
      <c r="B21" s="35" t="s">
        <v>212</v>
      </c>
    </row>
    <row r="22" spans="1:2" ht="36" customHeight="1" x14ac:dyDescent="0.25">
      <c r="A22" s="36" t="s">
        <v>213</v>
      </c>
      <c r="B22" s="37" t="s">
        <v>214</v>
      </c>
    </row>
    <row r="23" spans="1:2" ht="36" customHeight="1" x14ac:dyDescent="0.25">
      <c r="A23" s="34" t="s">
        <v>215</v>
      </c>
      <c r="B23" s="35" t="s">
        <v>216</v>
      </c>
    </row>
    <row r="24" spans="1:2" ht="36" customHeight="1" x14ac:dyDescent="0.25">
      <c r="A24" s="36" t="s">
        <v>217</v>
      </c>
      <c r="B24" s="37" t="s">
        <v>218</v>
      </c>
    </row>
    <row r="26" spans="1:2" ht="21.95" customHeight="1" x14ac:dyDescent="0.25">
      <c r="A26" s="57" t="s">
        <v>219</v>
      </c>
      <c r="B26" s="39"/>
    </row>
    <row r="27" spans="1:2" ht="36" customHeight="1" x14ac:dyDescent="0.25">
      <c r="A27" s="34" t="s">
        <v>220</v>
      </c>
      <c r="B27" s="35" t="s">
        <v>221</v>
      </c>
    </row>
    <row r="28" spans="1:2" ht="36" customHeight="1" x14ac:dyDescent="0.25">
      <c r="A28" s="36" t="s">
        <v>222</v>
      </c>
      <c r="B28" s="37" t="s">
        <v>223</v>
      </c>
    </row>
    <row r="29" spans="1:2" ht="36" customHeight="1" x14ac:dyDescent="0.25">
      <c r="A29" s="34" t="s">
        <v>224</v>
      </c>
      <c r="B29" s="35" t="s">
        <v>225</v>
      </c>
    </row>
    <row r="30" spans="1:2" ht="36" customHeight="1" x14ac:dyDescent="0.25">
      <c r="A30" s="36" t="s">
        <v>226</v>
      </c>
      <c r="B30" s="37" t="s">
        <v>227</v>
      </c>
    </row>
    <row r="31" spans="1:2" ht="36" customHeight="1" x14ac:dyDescent="0.25">
      <c r="A31" s="34" t="s">
        <v>228</v>
      </c>
      <c r="B31" s="35" t="s">
        <v>229</v>
      </c>
    </row>
  </sheetData>
  <mergeCells count="5">
    <mergeCell ref="A26:B26"/>
    <mergeCell ref="A2:B2"/>
    <mergeCell ref="A10:B10"/>
    <mergeCell ref="A1:B1"/>
    <mergeCell ref="A18:B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FICHA TÉCNICA</vt:lpstr>
      <vt:lpstr>BASE DE DATOS</vt:lpstr>
      <vt:lpstr>GUÍA DE DESCARGA</vt:lpstr>
      <vt:lpstr>MODELO ECONOMÉTRICO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Antony Palomino</cp:lastModifiedBy>
  <dcterms:created xsi:type="dcterms:W3CDTF">2026-06-05T16:46:28Z</dcterms:created>
  <dcterms:modified xsi:type="dcterms:W3CDTF">2026-06-05T17:56:41Z</dcterms:modified>
</cp:coreProperties>
</file>