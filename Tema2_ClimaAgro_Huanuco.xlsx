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usuario\proyectos\informatica\"/>
    </mc:Choice>
  </mc:AlternateContent>
  <xr:revisionPtr revIDLastSave="0" documentId="13_ncr:1_{F969D74F-02AC-4060-9253-1EFF5C54240E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FICHA TÉCNICA" sheetId="1" r:id="rId1"/>
    <sheet name="BASE DE DATOS" sheetId="2" r:id="rId2"/>
    <sheet name="GUÍA DE DESCARGA" sheetId="3" r:id="rId3"/>
    <sheet name="MODELO ECONOMÉTRIC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/>
  <c r="H34" i="2"/>
  <c r="E34" i="2"/>
  <c r="D34" i="2"/>
  <c r="C34" i="2"/>
  <c r="I33" i="2"/>
  <c r="H33" i="2"/>
  <c r="E33" i="2"/>
  <c r="D33" i="2"/>
  <c r="C33" i="2"/>
  <c r="I32" i="2"/>
  <c r="H32" i="2"/>
  <c r="E32" i="2"/>
  <c r="D32" i="2"/>
  <c r="C32" i="2"/>
  <c r="I31" i="2"/>
  <c r="H31" i="2"/>
  <c r="E31" i="2"/>
  <c r="D31" i="2"/>
  <c r="C31" i="2"/>
  <c r="E30" i="2"/>
  <c r="D30" i="2"/>
  <c r="C30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G30" i="2" s="1"/>
  <c r="F6" i="2"/>
  <c r="F5" i="2"/>
  <c r="F30" i="2" s="1"/>
</calcChain>
</file>

<file path=xl/sharedStrings.xml><?xml version="1.0" encoding="utf-8"?>
<sst xmlns="http://schemas.openxmlformats.org/spreadsheetml/2006/main" count="285" uniqueCount="241">
  <si>
    <t>BASE DE DATOS — TEMA 1: VARIABILIDAD CLIMÁTICA Y PRODUCTIVIDAD AGRÍCOLA EN HUÁNUCO</t>
  </si>
  <si>
    <t>Modelo de Series de Tiempo / MCO con Rezagos — Serie Anual 2000–2023  (24 observaciones)</t>
  </si>
  <si>
    <t>ECUACIÓN DEL MODELO ECONOMÉTRICO
REND_PAPA_t  =  β₀  +  β₁·TEMP_t  +  β₂·PREC_t  +  β₃·PREC²_t  +  β₄·REND_PAPA_(t-1)  +  ε_t</t>
  </si>
  <si>
    <t>FICHA DE VARIABLES</t>
  </si>
  <si>
    <t>ROL</t>
  </si>
  <si>
    <t>CÓDIGO</t>
  </si>
  <si>
    <t>DESCRIPCIÓN COMPLETA</t>
  </si>
  <si>
    <t>UNIDAD DE MEDIDA</t>
  </si>
  <si>
    <t>FUENTE</t>
  </si>
  <si>
    <t>CÓDIGO / URL</t>
  </si>
  <si>
    <t>FRECUENCIA ORIGINAL</t>
  </si>
  <si>
    <t>TRANSFORMACIÓN</t>
  </si>
  <si>
    <t>Y</t>
  </si>
  <si>
    <t>REND_PAPA</t>
  </si>
  <si>
    <t>Rendimiento del cultivo de papa en Huánuco (t/ha)</t>
  </si>
  <si>
    <t>Toneladas por hectárea (t/ha)</t>
  </si>
  <si>
    <t>MIDAGRI — Anuario Estadístico Agropecuario</t>
  </si>
  <si>
    <t>midagri.gob.pe → Estadística → Anuario Agropecuario → Huánuco → Cultivos Transitorios → Papa</t>
  </si>
  <si>
    <t>Anual</t>
  </si>
  <si>
    <t>Ninguna (usar directamente)</t>
  </si>
  <si>
    <t>X1</t>
  </si>
  <si>
    <t>TEMP_PROM</t>
  </si>
  <si>
    <t>Temperatura media anual en Huánuco — estaciones SENAMHI departamentales (°C)</t>
  </si>
  <si>
    <t>Grados Celsius (°C)</t>
  </si>
  <si>
    <t>SENAMHI</t>
  </si>
  <si>
    <t>senamhi.gob.pe → Datos Históricos → Temperatura → Huánuco → seleccionar estaciones clave (Huánuco, Llata, Tantamayo)</t>
  </si>
  <si>
    <t>Diaria → agregar a anual</t>
  </si>
  <si>
    <t>Promedio anual de datos diarios de las principales estaciones</t>
  </si>
  <si>
    <t>X2</t>
  </si>
  <si>
    <t>PREC_ANUAL</t>
  </si>
  <si>
    <t>Precipitación total anual acumulada en zonas de cultivo de papa en Huánuco (mm)</t>
  </si>
  <si>
    <t>Milímetros (mm)</t>
  </si>
  <si>
    <t>senamhi.gob.pe → Datos Históricos → Precipitación → Huánuco → estaciones en zonas andinas &gt; 2000 m.s.n.m.</t>
  </si>
  <si>
    <t>Diaria / Mensual → agregar a anual</t>
  </si>
  <si>
    <t>Suma de precipitación mensual de los 12 meses del año</t>
  </si>
  <si>
    <t>X3</t>
  </si>
  <si>
    <t>PREC2</t>
  </si>
  <si>
    <t>Cuadrado de la precipitación anual — captura efecto no lineal (exceso y déficit hídrico)</t>
  </si>
  <si>
    <t>mm² (cuadrado de mm)</t>
  </si>
  <si>
    <t>Derivado de X2</t>
  </si>
  <si>
    <t>Calculado: PREC_ANUAL² — no requiere descarga adicional</t>
  </si>
  <si>
    <t>Anual (derivada)</t>
  </si>
  <si>
    <t>Fórmula: =PREC_ANUAL^2 en la hoja BASE DE DATOS</t>
  </si>
  <si>
    <t>X4</t>
  </si>
  <si>
    <t>REND_L1</t>
  </si>
  <si>
    <t>Rendimiento de papa rezagado un período (t−1) — captura inercia tecnológica y aprendizaje</t>
  </si>
  <si>
    <t>Derivado de Y</t>
  </si>
  <si>
    <t>Calculado desplazando la serie Y un año: REND_PAPA del año anterior</t>
  </si>
  <si>
    <t>Fórmula: =Y del año (t-1) — rezago 1</t>
  </si>
  <si>
    <t>AUX1</t>
  </si>
  <si>
    <t>MAIZ_REND</t>
  </si>
  <si>
    <t>Rendimiento de maíz amiláceo en Huánuco (cultivo alternativo para análisis comparado)</t>
  </si>
  <si>
    <t>midagri.gob.pe → Anuario → Cultivos Transitorios → Maíz Amiláceo → Huánuco</t>
  </si>
  <si>
    <t>Ninguna (variable auxiliar)</t>
  </si>
  <si>
    <t>AUX2</t>
  </si>
  <si>
    <t>CAFE_REND</t>
  </si>
  <si>
    <t>Rendimiento de café en Huánuco — zonas de selva alta (Leoncio Prado, Huamalíes)</t>
  </si>
  <si>
    <t>Kilogramos por hectárea (kg/ha)</t>
  </si>
  <si>
    <t>midagri.gob.pe → Anuario → Cultivos Permanentes → Café → Huánuco</t>
  </si>
  <si>
    <t>SIGNOS ESPERADOS DE LOS COEFICIENTES</t>
  </si>
  <si>
    <t>COEFICIENTE</t>
  </si>
  <si>
    <t>SIGNO ESPERADO</t>
  </si>
  <si>
    <t>JUSTIFICACIÓN ECONÓMICA</t>
  </si>
  <si>
    <t>β₁ (TEMP_PROM)</t>
  </si>
  <si>
    <t>Ambiguo (∩)</t>
  </si>
  <si>
    <t>Relación no lineal: temperatura moderada aumenta rendimiento; temperaturas extremas (heladas &lt; 4°C o calor &gt; 28°C) lo reducen. Se espera signo negativo si predominan extremos.</t>
  </si>
  <si>
    <t>β₂ (PREC_ANUAL)</t>
  </si>
  <si>
    <t>Positivo (+)</t>
  </si>
  <si>
    <t>Mayor precipitación favorece el crecimiento de tubérculos hasta cierto umbral óptimo (~700-900 mm anuales en zona andina). Coeficiente positivo refleja efecto benéfico del agua.</t>
  </si>
  <si>
    <t>β₃ (PREC²)</t>
  </si>
  <si>
    <t>Negativo (–)</t>
  </si>
  <si>
    <t>El término cuadrático captura el exceso hídrico: precipitaciones muy altas generan encharcamiento, erosión y enfermedades fúngicas (rancha), reduciendo el rendimiento.</t>
  </si>
  <si>
    <t>β₄ (REND_L1)</t>
  </si>
  <si>
    <t>La inercia tecnológica y el aprendizaje del agricultor implican que los buenos rendimientos pasados se reproducen vía mejores prácticas, semillas seleccionadas y mayor inversión.</t>
  </si>
  <si>
    <t>NOTAS METODOLÓGICAS</t>
  </si>
  <si>
    <t>1. Período de análisis: 2000–2023 (24 años). Mínimo recomendado para MCO con 4 regresores y rezago.</t>
  </si>
  <si>
    <t>2. La variable Y proviene de los Anuarios Estadísticos Agropecuarios de MIDAGRI (antes MINAGRI). Se prioriza la serie de papa por ser el principal cultivo andino de Huánuco (CENAGRO 2012).</t>
  </si>
  <si>
    <t>3. Las variables climáticas (X1 y X2) provienen de SENAMHI. Usar el promedio de 2-3 estaciones representativas de la zona papera del departamento (Huánuco, Llata, Tantamayo). Verificar con CENAGRO la distribución espacial.</t>
  </si>
  <si>
    <t>4. X3 (PREC²) es generada internamente en Excel con fórmula automática. No requiere fuente externa.</t>
  </si>
  <si>
    <t>5. X4 (rezago) desplaza la serie Y un período. La primera observación (2000) perderá el rezago; el modelo efectivo tendrá 23 observaciones (2001–2023) si se incluye el rezago.</t>
  </si>
  <si>
    <t>6. Verificar estacionariedad con prueba ADF/PP antes de estimar. Series climáticas pueden tener tendencia por cambio climático. Si hay raíz unitaria, trabajar con primeras diferencias.</t>
  </si>
  <si>
    <t>7. Estimar con MCO. Evaluar autocorrelación (Durbin-Watson), heteroscedasticidad (Breusch-Pagan) y multicolinealidad (VIF &lt; 10).</t>
  </si>
  <si>
    <t>8. Para robustez: estimar el modelo también para maíz (MAIZ_REND) y café (CAFE_REND) como variables auxiliares y comparar coeficientes climáticos entre cultivos.</t>
  </si>
  <si>
    <t>9. Software recomendado: EViews, Stata, R (paquete dynlm + lmtest) o Python (statsmodels). En Excel puede usarse Analysis ToolPak para MCO básico.</t>
  </si>
  <si>
    <t>Serie anual 2000–2023 | Fuentes: SENAMHI, MIDAGRI-Anuario Agropecuario, CENAGRO | Completar celdas en verde (Y) y azul (X)</t>
  </si>
  <si>
    <t>IDENTIFICACIÓN</t>
  </si>
  <si>
    <t>VARIABLE DEPENDIENTE</t>
  </si>
  <si>
    <t>VARIABLES INDEPENDIENTES</t>
  </si>
  <si>
    <t>VARIABLES AUXILIARES / CALCULADAS</t>
  </si>
  <si>
    <t>AÑO
(Período)</t>
  </si>
  <si>
    <t>AÑO
(Num.)</t>
  </si>
  <si>
    <t>Y
REND_PAPA
(t/ha)</t>
  </si>
  <si>
    <t>X1
TEMP_PROM
(°C)</t>
  </si>
  <si>
    <t>X2
PREC_ANUAL
(mm)</t>
  </si>
  <si>
    <t>X3
PREC²
(mm²)</t>
  </si>
  <si>
    <t>X4
REND_L1
(t/ha t-1)</t>
  </si>
  <si>
    <t>AUX1
MAIZ_REND
(t/ha)</t>
  </si>
  <si>
    <t>AUX2
CAFE_REND
(kg/ha)</t>
  </si>
  <si>
    <t>NOTAS
/ANOMALÍAS</t>
  </si>
  <si>
    <t>2000</t>
  </si>
  <si>
    <t>N/A (sin rezago)</t>
  </si>
  <si>
    <t>2001</t>
  </si>
  <si>
    <t>2002</t>
  </si>
  <si>
    <t>2003</t>
  </si>
  <si>
    <t>2004</t>
  </si>
  <si>
    <t>Año Niño moderado</t>
  </si>
  <si>
    <t>2005</t>
  </si>
  <si>
    <t>2006</t>
  </si>
  <si>
    <t>2007</t>
  </si>
  <si>
    <t>2008</t>
  </si>
  <si>
    <t>2009</t>
  </si>
  <si>
    <t>2010</t>
  </si>
  <si>
    <t>Heladas severas zona andina</t>
  </si>
  <si>
    <t>2011</t>
  </si>
  <si>
    <t>2012</t>
  </si>
  <si>
    <t>2013</t>
  </si>
  <si>
    <t>2014</t>
  </si>
  <si>
    <t>2015</t>
  </si>
  <si>
    <t>2016</t>
  </si>
  <si>
    <t>2017</t>
  </si>
  <si>
    <t>Lluvias extremas — Niño Costero</t>
  </si>
  <si>
    <t>2018</t>
  </si>
  <si>
    <t>2019</t>
  </si>
  <si>
    <t>2020</t>
  </si>
  <si>
    <t>COVID-19: limitaciones de datos</t>
  </si>
  <si>
    <t>2021</t>
  </si>
  <si>
    <t>2022</t>
  </si>
  <si>
    <t>Inundaciones andinas</t>
  </si>
  <si>
    <t>2023</t>
  </si>
  <si>
    <t>N (obs.)</t>
  </si>
  <si>
    <t>Media</t>
  </si>
  <si>
    <t>Mín.</t>
  </si>
  <si>
    <t>Máx.</t>
  </si>
  <si>
    <t>D. Estándar</t>
  </si>
  <si>
    <t>LEYENDA DE COLORES:  🟢 Verde = Variable dependiente Y (ingresar manualmente)   🔵 Azul = Variables independientes X1, X2 (ingresar manualmente)   ⬜ Gris = Fórmulas calculadas automáticamente (X3 = PREC², X4 = REND_L1)   🟡 Amarillo = Nota de anomalía climática o metodológica</t>
  </si>
  <si>
    <t>GUÍA PASO A PASO PARA DESCARGA DE DATOS — TEMA 1: VARIABILIDAD CLIMÁTICA Y PRODUCTIVIDAD AGRÍCOLA</t>
  </si>
  <si>
    <t>Y — REND_PAPA | Fuente: MIDAGRI — Anuario Estadístico Agropecuario</t>
  </si>
  <si>
    <t>PASO</t>
  </si>
  <si>
    <t>ACCIÓN</t>
  </si>
  <si>
    <t>DETALLE</t>
  </si>
  <si>
    <t>1</t>
  </si>
  <si>
    <t>Ir a la web de MIDAGRI</t>
  </si>
  <si>
    <t>https://www.midagri.gob.pe</t>
  </si>
  <si>
    <t>2</t>
  </si>
  <si>
    <t>Ruta de navegación</t>
  </si>
  <si>
    <t>Estadística → Anuario Estadístico Agropecuario → Seleccionar el año → Descargar PDF o Excel del anuario</t>
  </si>
  <si>
    <t>3</t>
  </si>
  <si>
    <t>Filtrar por departamento y cultivo</t>
  </si>
  <si>
    <t>En el anuario busca la sección 'Cultivos Transitorios' → Papa → Huánuco. Extrae la columna 'Rendimiento (kg/ha)' o 't/ha'.</t>
  </si>
  <si>
    <t>4</t>
  </si>
  <si>
    <t>Convertir unidades</t>
  </si>
  <si>
    <t>Si los datos están en kg/ha, dividir entre 1000 para obtener t/ha. Anotar el año cosecha (año t), no el año de campaña.</t>
  </si>
  <si>
    <t>5</t>
  </si>
  <si>
    <t>Fuente alternativa — CENAGRO</t>
  </si>
  <si>
    <t>INEI → CENAGRO 2012 → Tabulados departamentales → Huánuco → cultivos → superficie, producción, rendimiento.</t>
  </si>
  <si>
    <t>X1 — TEMP_PROM | Fuente: SENAMHI</t>
  </si>
  <si>
    <t>Ir al portal SENAMHI</t>
  </si>
  <si>
    <t>https://www.senamhi.gob.pe</t>
  </si>
  <si>
    <t>Servicios → Datos Meteorológicos Históricos → Temperatura → Departamento: Huánuco → Seleccionar estaciones</t>
  </si>
  <si>
    <t>Estaciones recomendadas</t>
  </si>
  <si>
    <t>Priorizar: Huánuco (HCO-001), Llata, Tantamayo, Jesús. Estas cubren los pisos altitudinales donde se cultiva papa (2500–3800 msnm).</t>
  </si>
  <si>
    <t>Periodo y frecuencia</t>
  </si>
  <si>
    <t>Descargar datos mensuales de temperatura media (T_med) para 2000–2023. El portal permite descarga en CSV o Excel por estación.</t>
  </si>
  <si>
    <t>Agregar a anual</t>
  </si>
  <si>
    <t>Calcular el promedio anual de T_med de los 12 meses. Si hay varias estaciones, calcular el promedio entre ellas (promedio espacial).</t>
  </si>
  <si>
    <t>6</t>
  </si>
  <si>
    <t>Datos faltantes</t>
  </si>
  <si>
    <t>Estaciones pueden tener gaps. Usar interpolación lineal para años con datos faltantes o reemplazar con datos de la estación más cercana.</t>
  </si>
  <si>
    <t>X2 — PREC_ANUAL | Fuente: SENAMHI</t>
  </si>
  <si>
    <t>https://www.senamhi.gob.pe → Datos Históricos → Precipitación → Huánuco</t>
  </si>
  <si>
    <t>Seleccionar estaciones</t>
  </si>
  <si>
    <t>Usar las mismas estaciones que para temperatura. La precipitación es más variable espacialmente; usar al menos 3 estaciones.</t>
  </si>
  <si>
    <t>Dato a extraer</t>
  </si>
  <si>
    <t>Precipitación total mensual (PP_total en mm). Suma de precipitación diaria del mes.</t>
  </si>
  <si>
    <t>Sumar los 12 meses para obtener precipitación total anual (mm/año). Anotar el año hidrológico correspondiente.</t>
  </si>
  <si>
    <t>Fuente alternativa</t>
  </si>
  <si>
    <t>CHIRPS (Climate Hazards Group InfraRed Precipitation with Station Data): datos grillados de alta resolución. Descargar via GIOVANNI-NASA o Google Earth Engine para coordenadas de Huánuco.</t>
  </si>
  <si>
    <t>Validación</t>
  </si>
  <si>
    <t>Precipitación media anual esperada en zona papera andina de Huánuco: 600–1000 mm. Valores muy fuera de este rango pueden indicar error de datos.</t>
  </si>
  <si>
    <t>X3 — PREC² | Calculado automáticamente en Excel</t>
  </si>
  <si>
    <t>No requiere descarga</t>
  </si>
  <si>
    <t>Esta variable se genera automáticamente en la hoja BASE DE DATOS con la fórmula: =E(fila)^2, donde E corresponde a la columna PREC_ANUAL.</t>
  </si>
  <si>
    <t>Propósito econométrico</t>
  </si>
  <si>
    <t>El término cuadrático permite modelar la relación no lineal entre precipitación y rendimiento: rendimiento óptimo a nivel intermedio de lluvia (forma de U invertida).</t>
  </si>
  <si>
    <t>Interpretación del par β₂/β₃</t>
  </si>
  <si>
    <t>Si β₂ &gt; 0 y β₃ &lt; 0: existe un umbral óptimo de precipitación = −β₂/(2·β₃). Calcular e interpretar agronómicamente.</t>
  </si>
  <si>
    <t>X4 — REND_L1 (Rezago) | Calculado automáticamente</t>
  </si>
  <si>
    <t>El rezago se genera automáticamente en la hoja BASE DE DATOS: la celda del año t toma el valor de REND_PAPA del año t-1.</t>
  </si>
  <si>
    <t>Importante para el modelo</t>
  </si>
  <si>
    <t>El rezago captura inercia del sistema agrícola. Eliminar la primera observación (año 2000) del modelo estimado, pues no tiene rezago disponible.</t>
  </si>
  <si>
    <t>Prueba de endogeneidad</t>
  </si>
  <si>
    <t>Si se sospecha endogeneidad del rezago, aplicar prueba de Hausman o usar variables instrumentales en estimación robusta.</t>
  </si>
  <si>
    <t>ESQUEMA DEL MODELO ECONOMÉTRICO — TEMA 1: VARIABILIDAD CLIMÁTICA Y PRODUCTIVIDAD AGRÍCOLA</t>
  </si>
  <si>
    <t>ESPECIFICACIÓN DEL MODELO</t>
  </si>
  <si>
    <t>Tipo de modelo</t>
  </si>
  <si>
    <t>Regresión lineal múltiple con rezago por Mínimos Cuadrados Ordinarios (MCO)</t>
  </si>
  <si>
    <t>Forma funcional</t>
  </si>
  <si>
    <t>Cuadrático-lineal con rezago: Y en niveles; X3 = PREC² captura no linealidad; X4 = Y(t-1) como variable de inercia</t>
  </si>
  <si>
    <t>Ecuación estimable</t>
  </si>
  <si>
    <t>REND_PAPA_t = β₀ + β₁·TEMP_PROM_t + β₂·PREC_ANUAL_t + β₃·PREC²_t + β₄·REND_PAPA_(t-1) + ε_t</t>
  </si>
  <si>
    <t>Número de observaciones</t>
  </si>
  <si>
    <t>23 años efectivos (2001–2023), pues el primer año (2000) no tiene rezago disponible</t>
  </si>
  <si>
    <t>Número de parámetros</t>
  </si>
  <si>
    <t>5 (β₀, β₁, β₂, β₃, β₄)</t>
  </si>
  <si>
    <t>Grados de libertad</t>
  </si>
  <si>
    <t>18 (suficiente para inferencia básica con 5 parámetros)</t>
  </si>
  <si>
    <t>PASOS DE ESTIMACIÓN</t>
  </si>
  <si>
    <t>Paso 1 — Análisis descriptivo</t>
  </si>
  <si>
    <t>Calcular media, desviación estándar, mínimo y máximo de cada variable. Graficar series de rendimiento y clima en el tiempo para detectar tendencias, ciclos (ENSO) y outliers. Identificar años con anomalías climáticas extremas.</t>
  </si>
  <si>
    <t>Paso 2 — Análisis de correlaciones</t>
  </si>
  <si>
    <t>Construir matriz de correlaciones entre Y, X1, X2, X3, X4. Verificar correlación entre X2 (PREC) y X3 (PREC²) — puede haber multicolinealidad. Si |r(X2,X3)| &gt; 0.90, centrar la variable: usar (PREC − media_PREC) antes de elevar al cuadrado.</t>
  </si>
  <si>
    <t>Paso 3 — Prueba de estacionariedad</t>
  </si>
  <si>
    <t>Aplicar prueba ADF o KPSS a REND_PAPA y TEMP_PROM. Las series climáticas con tendencia por cambio climático pueden no ser estacionarias. Si se rechaza estacionariedad → usar primeras diferencias o incluir tendencia temporal (t) como regresor adicional.</t>
  </si>
  <si>
    <t>Paso 4 — Estimación MCO</t>
  </si>
  <si>
    <t>Estimar la ecuación por OLS. Obtener: coeficientes β̂, errores estándar robustos (Newey-West si hay autocorrelación), t-estadísticos, p-valores, R², R² ajustado y F-estadístico global. Calcular umbral óptimo de precipitación: PREC* = −β₂/(2·β₃).</t>
  </si>
  <si>
    <t>Paso 5 — Diagnóstico de residuos</t>
  </si>
  <si>
    <t>a) Autocorrelación: Breusch-Godfrey LM test (superior a DW en presencia de rezago). Si p &lt; 0.05 → aplicar errores Newey-West.
b) Heteroscedasticidad: Breusch-Pagan (H₀: homosc.). Si se rechaza → errores robustos HC.
c) Normalidad: Jarque-Bera.
d) Estabilidad: prueba CUSUM o Chow si hay sospecha de quiebre estructural (ej. 2010 o 2017).</t>
  </si>
  <si>
    <t>Paso 6 — Interpretación agronómica</t>
  </si>
  <si>
    <t>β₁: variación en t/ha ante aumento de 1°C (efecto temperatura).
β₂ y β₃: permiten calcular precipitación óptima PREC* = −β₂/(2·β₃) en mm/año.
β₄: coeficiente de inercia (persistencia inter-anual del rendimiento).
R²: proporción de variabilidad del rendimiento explicada por el clima y el rezago.</t>
  </si>
  <si>
    <t>CRITERIOS DE BONDAD DE AJUSTE</t>
  </si>
  <si>
    <t>R² ajustado</t>
  </si>
  <si>
    <t>Debe ser &gt; 0.55 para datos agroclimáticos anuales regionales (alta variabilidad natural).</t>
  </si>
  <si>
    <t>F-estadístico (global)</t>
  </si>
  <si>
    <t>p-valor &lt; 0.05 → el modelo en su conjunto es significativo.</t>
  </si>
  <si>
    <t>t-estadísticos por variable</t>
  </si>
  <si>
    <t>p-valor &lt; 0.10 es aceptable con 23 obs.; p &lt; 0.05 es preferible.</t>
  </si>
  <si>
    <t>Prueba Breusch-Godfrey</t>
  </si>
  <si>
    <t>p-valor &gt; 0.05 indica ausencia de autocorrelación en residuos (importante con rezago en modelo).</t>
  </si>
  <si>
    <t>VIF (Variance Inflation Factor)</t>
  </si>
  <si>
    <t>VIF &lt; 10 para cada regresor; atención especial al par PREC y PREC² (centrar si VIF &gt; 10).</t>
  </si>
  <si>
    <t>Umbral óptimo PREC*</t>
  </si>
  <si>
    <t>−β₂/(2·β₃) debe estar dentro del rango observado de precipitación (600–1000 mm) para tener sentido agronómico.</t>
  </si>
  <si>
    <t>HIPÓTESIS DE LA INVESTIGACIÓN</t>
  </si>
  <si>
    <t>Hipótesis general</t>
  </si>
  <si>
    <t>La variabilidad climática (temperatura y precipitación) influye significativamente en el rendimiento del cultivo de papa en el departamento de Huánuco durante el período 2000–2023, con una relación no lineal respecto a la precipitación.</t>
  </si>
  <si>
    <t>H₁ (X1: Temperatura)</t>
  </si>
  <si>
    <t>La temperatura media anual tiene efecto significativo sobre el rendimiento de papa en Huánuco. En el rango observado, se espera efecto negativo si predominan eventos de helada o calor extremo (β₁ ≠ 0).</t>
  </si>
  <si>
    <t>H₂/H₃ (X2 y X3: Precipitación + cuadrático)</t>
  </si>
  <si>
    <t>Existe un nivel óptimo de precipitación (PREC*) que maximiza el rendimiento de papa. Por encima o por debajo de este umbral, el rendimiento decrece (β₂ &gt; 0; β₃ &lt; 0).</t>
  </si>
  <si>
    <t>H₄ (X4: Rezago)</t>
  </si>
  <si>
    <t>El rendimiento del año anterior influye positivamente en el rendimiento actual, reflejando inercia tecnológica, calidad de semilla y acumulación de capital del agricultor (β₄ &gt;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</si>
</sst>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1F4E79"/>
      <name val="Arial"/>
      <family val="2"/>
    </font>
    <font>
      <sz val="9"/>
      <color rgb="FF595959"/>
      <name val="Arial"/>
      <family val="2"/>
    </font>
    <font>
      <i/>
      <sz val="8"/>
      <color rgb="FF595959"/>
      <name val="Arial"/>
      <family val="2"/>
    </font>
    <font>
      <sz val="8"/>
      <color rgb="FF000000"/>
      <name val="Arial"/>
      <family val="2"/>
    </font>
    <font>
      <i/>
      <sz val="8"/>
      <color rgb="FF7F6000"/>
      <name val="Arial"/>
      <family val="2"/>
    </font>
    <font>
      <b/>
      <sz val="11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E5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DE7"/>
      </patternFill>
    </fill>
    <fill>
      <patternFill patternType="solid">
        <fgColor rgb="FFC6EFCE"/>
      </patternFill>
    </fill>
    <fill>
      <patternFill patternType="solid">
        <fgColor rgb="FFEBF3FB"/>
      </patternFill>
    </fill>
    <fill>
      <patternFill patternType="solid">
        <fgColor rgb="FFF5F5F5"/>
      </patternFill>
    </fill>
    <fill>
      <patternFill patternType="solid">
        <fgColor rgb="FFF5FBFF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D6E4F0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/>
    </xf>
    <xf numFmtId="1" fontId="7" fillId="15" borderId="2" xfId="0" applyNumberFormat="1" applyFon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2" fontId="0" fillId="16" borderId="3" xfId="0" applyNumberFormat="1" applyFill="1" applyBorder="1" applyAlignment="1">
      <alignment horizontal="center" vertical="center"/>
    </xf>
    <xf numFmtId="1" fontId="0" fillId="16" borderId="2" xfId="0" applyNumberForma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left" vertical="center" wrapText="1"/>
    </xf>
    <xf numFmtId="2" fontId="11" fillId="8" borderId="2" xfId="0" applyNumberFormat="1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left" vertical="center" wrapText="1"/>
    </xf>
    <xf numFmtId="0" fontId="14" fillId="19" borderId="4" xfId="0" applyFont="1" applyFill="1" applyBorder="1" applyAlignment="1">
      <alignment horizontal="left" vertical="center" wrapText="1"/>
    </xf>
    <xf numFmtId="0" fontId="5" fillId="20" borderId="6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2" fontId="5" fillId="20" borderId="6" xfId="0" applyNumberFormat="1" applyFont="1" applyFill="1" applyBorder="1" applyAlignment="1">
      <alignment horizontal="center" vertical="center"/>
    </xf>
    <xf numFmtId="2" fontId="5" fillId="20" borderId="7" xfId="0" applyNumberFormat="1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5" fillId="17" borderId="4" xfId="0" applyFont="1" applyFill="1" applyBorder="1" applyAlignment="1">
      <alignment horizontal="left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left" vertical="center" wrapText="1"/>
    </xf>
    <xf numFmtId="0" fontId="5" fillId="18" borderId="4" xfId="0" applyFont="1" applyFill="1" applyBorder="1" applyAlignment="1">
      <alignment horizontal="left" vertical="center" wrapText="1"/>
    </xf>
    <xf numFmtId="0" fontId="3" fillId="15" borderId="3" xfId="0" applyFont="1" applyFill="1" applyBorder="1" applyAlignment="1">
      <alignment horizontal="left" vertical="center" wrapText="1"/>
    </xf>
    <xf numFmtId="0" fontId="7" fillId="15" borderId="4" xfId="0" applyFont="1" applyFill="1" applyBorder="1" applyAlignment="1">
      <alignment horizontal="left" vertical="center" wrapText="1"/>
    </xf>
    <xf numFmtId="0" fontId="3" fillId="18" borderId="3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0" fillId="0" borderId="0" xfId="0"/>
    <xf numFmtId="0" fontId="5" fillId="9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A2" workbookViewId="0">
      <selection sqref="A1:H1"/>
    </sheetView>
  </sheetViews>
  <sheetFormatPr baseColWidth="10" defaultColWidth="9.140625" defaultRowHeight="15" x14ac:dyDescent="0.25"/>
  <cols>
    <col min="1" max="1" width="22" customWidth="1"/>
    <col min="2" max="2" width="16" customWidth="1"/>
    <col min="3" max="3" width="42" customWidth="1"/>
    <col min="4" max="4" width="28" customWidth="1"/>
    <col min="5" max="5" width="30" customWidth="1"/>
    <col min="6" max="6" width="50" customWidth="1"/>
    <col min="7" max="7" width="24" customWidth="1"/>
    <col min="8" max="8" width="30" customWidth="1"/>
  </cols>
  <sheetData>
    <row r="1" spans="1:8" ht="38.1" customHeight="1" x14ac:dyDescent="0.25">
      <c r="A1" s="49" t="s">
        <v>0</v>
      </c>
      <c r="B1" s="45"/>
      <c r="C1" s="45"/>
      <c r="D1" s="45"/>
      <c r="E1" s="45"/>
      <c r="F1" s="45"/>
      <c r="G1" s="45"/>
      <c r="H1" s="45"/>
    </row>
    <row r="2" spans="1:8" ht="18" customHeight="1" x14ac:dyDescent="0.25">
      <c r="A2" s="47" t="s">
        <v>1</v>
      </c>
      <c r="B2" s="45"/>
      <c r="C2" s="45"/>
      <c r="D2" s="45"/>
      <c r="E2" s="45"/>
      <c r="F2" s="45"/>
      <c r="G2" s="45"/>
      <c r="H2" s="45"/>
    </row>
    <row r="3" spans="1:8" ht="27.95" customHeight="1" x14ac:dyDescent="0.25">
      <c r="A3" s="53" t="s">
        <v>2</v>
      </c>
      <c r="B3" s="45"/>
      <c r="C3" s="45"/>
      <c r="D3" s="45"/>
      <c r="E3" s="45"/>
      <c r="F3" s="45"/>
      <c r="G3" s="45"/>
      <c r="H3" s="45"/>
    </row>
    <row r="4" spans="1:8" ht="6" customHeight="1" x14ac:dyDescent="0.25"/>
    <row r="5" spans="1:8" ht="21.95" customHeight="1" x14ac:dyDescent="0.25">
      <c r="A5" s="47" t="s">
        <v>3</v>
      </c>
      <c r="B5" s="45"/>
      <c r="C5" s="45"/>
      <c r="D5" s="45"/>
      <c r="E5" s="45"/>
      <c r="F5" s="45"/>
      <c r="G5" s="45"/>
      <c r="H5" s="45"/>
    </row>
    <row r="6" spans="1:8" ht="36" customHeight="1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42" customHeight="1" x14ac:dyDescent="0.25">
      <c r="A7" s="2" t="s">
        <v>12</v>
      </c>
      <c r="B7" s="2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8" ht="42" customHeight="1" x14ac:dyDescent="0.25">
      <c r="A8" s="4" t="s">
        <v>20</v>
      </c>
      <c r="B8" s="4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</row>
    <row r="9" spans="1:8" ht="42" customHeight="1" x14ac:dyDescent="0.25">
      <c r="A9" s="4" t="s">
        <v>28</v>
      </c>
      <c r="B9" s="4" t="s">
        <v>29</v>
      </c>
      <c r="C9" s="5" t="s">
        <v>30</v>
      </c>
      <c r="D9" s="5" t="s">
        <v>31</v>
      </c>
      <c r="E9" s="5" t="s">
        <v>24</v>
      </c>
      <c r="F9" s="5" t="s">
        <v>32</v>
      </c>
      <c r="G9" s="5" t="s">
        <v>33</v>
      </c>
      <c r="H9" s="5" t="s">
        <v>34</v>
      </c>
    </row>
    <row r="10" spans="1:8" ht="42" customHeight="1" x14ac:dyDescent="0.25">
      <c r="A10" s="6" t="s">
        <v>35</v>
      </c>
      <c r="B10" s="6" t="s">
        <v>36</v>
      </c>
      <c r="C10" s="7" t="s">
        <v>37</v>
      </c>
      <c r="D10" s="7" t="s">
        <v>38</v>
      </c>
      <c r="E10" s="7" t="s">
        <v>39</v>
      </c>
      <c r="F10" s="7" t="s">
        <v>40</v>
      </c>
      <c r="G10" s="7" t="s">
        <v>41</v>
      </c>
      <c r="H10" s="7" t="s">
        <v>42</v>
      </c>
    </row>
    <row r="11" spans="1:8" ht="42" customHeight="1" x14ac:dyDescent="0.25">
      <c r="A11" s="6" t="s">
        <v>43</v>
      </c>
      <c r="B11" s="6" t="s">
        <v>44</v>
      </c>
      <c r="C11" s="7" t="s">
        <v>45</v>
      </c>
      <c r="D11" s="7" t="s">
        <v>15</v>
      </c>
      <c r="E11" s="7" t="s">
        <v>46</v>
      </c>
      <c r="F11" s="7" t="s">
        <v>47</v>
      </c>
      <c r="G11" s="7" t="s">
        <v>41</v>
      </c>
      <c r="H11" s="7" t="s">
        <v>48</v>
      </c>
    </row>
    <row r="12" spans="1:8" ht="42" customHeight="1" x14ac:dyDescent="0.25">
      <c r="A12" s="8" t="s">
        <v>49</v>
      </c>
      <c r="B12" s="8" t="s">
        <v>50</v>
      </c>
      <c r="C12" s="9" t="s">
        <v>51</v>
      </c>
      <c r="D12" s="9" t="s">
        <v>15</v>
      </c>
      <c r="E12" s="9" t="s">
        <v>16</v>
      </c>
      <c r="F12" s="9" t="s">
        <v>52</v>
      </c>
      <c r="G12" s="9" t="s">
        <v>18</v>
      </c>
      <c r="H12" s="9" t="s">
        <v>53</v>
      </c>
    </row>
    <row r="13" spans="1:8" ht="42" customHeight="1" x14ac:dyDescent="0.25">
      <c r="A13" s="8" t="s">
        <v>54</v>
      </c>
      <c r="B13" s="8" t="s">
        <v>55</v>
      </c>
      <c r="C13" s="9" t="s">
        <v>56</v>
      </c>
      <c r="D13" s="9" t="s">
        <v>57</v>
      </c>
      <c r="E13" s="9" t="s">
        <v>16</v>
      </c>
      <c r="F13" s="9" t="s">
        <v>58</v>
      </c>
      <c r="G13" s="9" t="s">
        <v>18</v>
      </c>
      <c r="H13" s="9" t="s">
        <v>53</v>
      </c>
    </row>
    <row r="14" spans="1:8" ht="6" customHeight="1" x14ac:dyDescent="0.25"/>
    <row r="15" spans="1:8" ht="21.95" customHeight="1" x14ac:dyDescent="0.25">
      <c r="A15" s="47" t="s">
        <v>59</v>
      </c>
      <c r="B15" s="45"/>
      <c r="C15" s="45"/>
      <c r="D15" s="45"/>
      <c r="E15" s="45"/>
      <c r="F15" s="45"/>
      <c r="G15" s="45"/>
      <c r="H15" s="45"/>
    </row>
    <row r="16" spans="1:8" x14ac:dyDescent="0.25">
      <c r="A16" s="50" t="s">
        <v>60</v>
      </c>
      <c r="B16" s="45"/>
      <c r="C16" s="10" t="s">
        <v>61</v>
      </c>
      <c r="D16" s="50" t="s">
        <v>62</v>
      </c>
      <c r="E16" s="45"/>
      <c r="F16" s="45"/>
      <c r="G16" s="45"/>
      <c r="H16" s="45"/>
    </row>
    <row r="17" spans="1:8" ht="36" customHeight="1" x14ac:dyDescent="0.25">
      <c r="A17" s="54" t="s">
        <v>63</v>
      </c>
      <c r="B17" s="45"/>
      <c r="C17" s="11" t="s">
        <v>64</v>
      </c>
      <c r="D17" s="46" t="s">
        <v>65</v>
      </c>
      <c r="E17" s="45"/>
      <c r="F17" s="45"/>
      <c r="G17" s="45"/>
      <c r="H17" s="45"/>
    </row>
    <row r="18" spans="1:8" ht="36" customHeight="1" x14ac:dyDescent="0.25">
      <c r="A18" s="52" t="s">
        <v>66</v>
      </c>
      <c r="B18" s="45"/>
      <c r="C18" s="12" t="s">
        <v>67</v>
      </c>
      <c r="D18" s="46" t="s">
        <v>68</v>
      </c>
      <c r="E18" s="45"/>
      <c r="F18" s="45"/>
      <c r="G18" s="45"/>
      <c r="H18" s="45"/>
    </row>
    <row r="19" spans="1:8" ht="36" customHeight="1" x14ac:dyDescent="0.25">
      <c r="A19" s="55" t="s">
        <v>69</v>
      </c>
      <c r="B19" s="45"/>
      <c r="C19" s="13" t="s">
        <v>70</v>
      </c>
      <c r="D19" s="46" t="s">
        <v>71</v>
      </c>
      <c r="E19" s="45"/>
      <c r="F19" s="45"/>
      <c r="G19" s="45"/>
      <c r="H19" s="45"/>
    </row>
    <row r="20" spans="1:8" ht="36" customHeight="1" x14ac:dyDescent="0.25">
      <c r="A20" s="52" t="s">
        <v>72</v>
      </c>
      <c r="B20" s="45"/>
      <c r="C20" s="12" t="s">
        <v>67</v>
      </c>
      <c r="D20" s="46" t="s">
        <v>73</v>
      </c>
      <c r="E20" s="45"/>
      <c r="F20" s="45"/>
      <c r="G20" s="45"/>
      <c r="H20" s="45"/>
    </row>
    <row r="22" spans="1:8" ht="6" customHeight="1" x14ac:dyDescent="0.25"/>
    <row r="23" spans="1:8" ht="21.95" customHeight="1" x14ac:dyDescent="0.25">
      <c r="A23" s="47" t="s">
        <v>74</v>
      </c>
      <c r="B23" s="45"/>
      <c r="C23" s="45"/>
      <c r="D23" s="45"/>
      <c r="E23" s="45"/>
      <c r="F23" s="45"/>
      <c r="G23" s="45"/>
      <c r="H23" s="45"/>
    </row>
    <row r="24" spans="1:8" ht="30" customHeight="1" x14ac:dyDescent="0.25">
      <c r="A24" s="48" t="s">
        <v>75</v>
      </c>
      <c r="B24" s="45"/>
      <c r="C24" s="45"/>
      <c r="D24" s="45"/>
      <c r="E24" s="45"/>
      <c r="F24" s="45"/>
      <c r="G24" s="45"/>
      <c r="H24" s="45"/>
    </row>
    <row r="25" spans="1:8" ht="30" customHeight="1" x14ac:dyDescent="0.25">
      <c r="A25" s="51" t="s">
        <v>76</v>
      </c>
      <c r="B25" s="45"/>
      <c r="C25" s="45"/>
      <c r="D25" s="45"/>
      <c r="E25" s="45"/>
      <c r="F25" s="45"/>
      <c r="G25" s="45"/>
      <c r="H25" s="45"/>
    </row>
    <row r="26" spans="1:8" ht="30" customHeight="1" x14ac:dyDescent="0.25">
      <c r="A26" s="44" t="s">
        <v>77</v>
      </c>
      <c r="B26" s="45"/>
      <c r="C26" s="45"/>
      <c r="D26" s="45"/>
      <c r="E26" s="45"/>
      <c r="F26" s="45"/>
      <c r="G26" s="45"/>
      <c r="H26" s="45"/>
    </row>
    <row r="27" spans="1:8" ht="30" customHeight="1" x14ac:dyDescent="0.25">
      <c r="A27" s="51" t="s">
        <v>78</v>
      </c>
      <c r="B27" s="45"/>
      <c r="C27" s="45"/>
      <c r="D27" s="45"/>
      <c r="E27" s="45"/>
      <c r="F27" s="45"/>
      <c r="G27" s="45"/>
      <c r="H27" s="45"/>
    </row>
    <row r="28" spans="1:8" ht="30" customHeight="1" x14ac:dyDescent="0.25">
      <c r="A28" s="44" t="s">
        <v>79</v>
      </c>
      <c r="B28" s="45"/>
      <c r="C28" s="45"/>
      <c r="D28" s="45"/>
      <c r="E28" s="45"/>
      <c r="F28" s="45"/>
      <c r="G28" s="45"/>
      <c r="H28" s="45"/>
    </row>
    <row r="29" spans="1:8" ht="30" customHeight="1" x14ac:dyDescent="0.25">
      <c r="A29" s="51" t="s">
        <v>80</v>
      </c>
      <c r="B29" s="45"/>
      <c r="C29" s="45"/>
      <c r="D29" s="45"/>
      <c r="E29" s="45"/>
      <c r="F29" s="45"/>
      <c r="G29" s="45"/>
      <c r="H29" s="45"/>
    </row>
    <row r="30" spans="1:8" ht="30" customHeight="1" x14ac:dyDescent="0.25">
      <c r="A30" s="44" t="s">
        <v>81</v>
      </c>
      <c r="B30" s="45"/>
      <c r="C30" s="45"/>
      <c r="D30" s="45"/>
      <c r="E30" s="45"/>
      <c r="F30" s="45"/>
      <c r="G30" s="45"/>
      <c r="H30" s="45"/>
    </row>
    <row r="31" spans="1:8" ht="30" customHeight="1" x14ac:dyDescent="0.25">
      <c r="A31" s="51" t="s">
        <v>82</v>
      </c>
      <c r="B31" s="45"/>
      <c r="C31" s="45"/>
      <c r="D31" s="45"/>
      <c r="E31" s="45"/>
      <c r="F31" s="45"/>
      <c r="G31" s="45"/>
      <c r="H31" s="45"/>
    </row>
    <row r="32" spans="1:8" ht="30" customHeight="1" x14ac:dyDescent="0.25">
      <c r="A32" s="44" t="s">
        <v>83</v>
      </c>
      <c r="B32" s="45"/>
      <c r="C32" s="45"/>
      <c r="D32" s="45"/>
      <c r="E32" s="45"/>
      <c r="F32" s="45"/>
      <c r="G32" s="45"/>
      <c r="H32" s="45"/>
    </row>
    <row r="33" ht="30" customHeight="1" x14ac:dyDescent="0.25"/>
  </sheetData>
  <mergeCells count="25">
    <mergeCell ref="A32:H32"/>
    <mergeCell ref="D18:H18"/>
    <mergeCell ref="A20:B20"/>
    <mergeCell ref="A29:H29"/>
    <mergeCell ref="A19:B19"/>
    <mergeCell ref="A28:H28"/>
    <mergeCell ref="A31:H31"/>
    <mergeCell ref="A1:H1"/>
    <mergeCell ref="A16:B16"/>
    <mergeCell ref="A25:H25"/>
    <mergeCell ref="A18:B18"/>
    <mergeCell ref="A27:H27"/>
    <mergeCell ref="D17:H17"/>
    <mergeCell ref="A3:H3"/>
    <mergeCell ref="A26:H26"/>
    <mergeCell ref="D16:H16"/>
    <mergeCell ref="A2:H2"/>
    <mergeCell ref="A17:B17"/>
    <mergeCell ref="A23:H23"/>
    <mergeCell ref="A5:H5"/>
    <mergeCell ref="A30:H30"/>
    <mergeCell ref="D20:H20"/>
    <mergeCell ref="A15:H15"/>
    <mergeCell ref="A24:H24"/>
    <mergeCell ref="D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pane xSplit="2" ySplit="4" topLeftCell="C10" activePane="bottomRight" state="frozen"/>
      <selection pane="topRight"/>
      <selection pane="bottomLeft"/>
      <selection pane="bottomRight" sqref="A1:J1"/>
    </sheetView>
  </sheetViews>
  <sheetFormatPr baseColWidth="10" defaultColWidth="9.140625" defaultRowHeight="15" x14ac:dyDescent="0.25"/>
  <cols>
    <col min="1" max="1" width="14" customWidth="1"/>
    <col min="2" max="2" width="7" customWidth="1"/>
    <col min="3" max="3" width="17" customWidth="1"/>
    <col min="4" max="10" width="18" customWidth="1"/>
  </cols>
  <sheetData>
    <row r="1" spans="1:10" ht="38.1" customHeight="1" x14ac:dyDescent="0.25">
      <c r="A1" s="56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8" customHeight="1" x14ac:dyDescent="0.25">
      <c r="A2" s="61" t="s">
        <v>84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50.1" customHeight="1" x14ac:dyDescent="0.25">
      <c r="A3" s="58" t="s">
        <v>85</v>
      </c>
      <c r="B3" s="45"/>
      <c r="C3" s="60" t="s">
        <v>86</v>
      </c>
      <c r="D3" s="58" t="s">
        <v>87</v>
      </c>
      <c r="E3" s="45"/>
      <c r="F3" s="45"/>
      <c r="G3" s="45"/>
      <c r="H3" s="62" t="s">
        <v>88</v>
      </c>
      <c r="I3" s="45"/>
      <c r="J3" s="45"/>
    </row>
    <row r="4" spans="1:10" ht="50.1" customHeight="1" x14ac:dyDescent="0.25">
      <c r="A4" s="14" t="s">
        <v>89</v>
      </c>
      <c r="B4" s="14" t="s">
        <v>90</v>
      </c>
      <c r="C4" s="15" t="s">
        <v>91</v>
      </c>
      <c r="D4" s="14" t="s">
        <v>92</v>
      </c>
      <c r="E4" s="14" t="s">
        <v>93</v>
      </c>
      <c r="F4" s="16" t="s">
        <v>94</v>
      </c>
      <c r="G4" s="16" t="s">
        <v>95</v>
      </c>
      <c r="H4" s="16" t="s">
        <v>96</v>
      </c>
      <c r="I4" s="16" t="s">
        <v>97</v>
      </c>
      <c r="J4" s="17" t="s">
        <v>98</v>
      </c>
    </row>
    <row r="5" spans="1:10" ht="18" customHeight="1" x14ac:dyDescent="0.25">
      <c r="A5" s="18" t="s">
        <v>99</v>
      </c>
      <c r="B5" s="19">
        <v>2000</v>
      </c>
      <c r="C5" s="20"/>
      <c r="D5" s="21"/>
      <c r="E5" s="21"/>
      <c r="F5" s="22" t="str">
        <f t="shared" ref="F5:F28" si="0">IF(ISNUMBER(E5),E5^2,"")</f>
        <v/>
      </c>
      <c r="G5" s="23" t="s">
        <v>100</v>
      </c>
      <c r="H5" s="24"/>
      <c r="I5" s="25"/>
      <c r="J5" s="26"/>
    </row>
    <row r="6" spans="1:10" ht="18" customHeight="1" x14ac:dyDescent="0.25">
      <c r="A6" s="18" t="s">
        <v>101</v>
      </c>
      <c r="B6" s="19">
        <v>2001</v>
      </c>
      <c r="C6" s="20"/>
      <c r="D6" s="21"/>
      <c r="E6" s="21"/>
      <c r="F6" s="22" t="str">
        <f t="shared" si="0"/>
        <v/>
      </c>
      <c r="G6" s="27" t="str">
        <f t="shared" ref="G6:G28" si="1">IF(ISNUMBER(C5),C5,"")</f>
        <v/>
      </c>
      <c r="H6" s="24"/>
      <c r="I6" s="25"/>
      <c r="J6" s="28"/>
    </row>
    <row r="7" spans="1:10" ht="18" customHeight="1" x14ac:dyDescent="0.25">
      <c r="A7" s="18" t="s">
        <v>102</v>
      </c>
      <c r="B7" s="19">
        <v>2002</v>
      </c>
      <c r="C7" s="20"/>
      <c r="D7" s="21"/>
      <c r="E7" s="21"/>
      <c r="F7" s="22" t="str">
        <f t="shared" si="0"/>
        <v/>
      </c>
      <c r="G7" s="27" t="str">
        <f t="shared" si="1"/>
        <v/>
      </c>
      <c r="H7" s="24"/>
      <c r="I7" s="25"/>
      <c r="J7" s="26"/>
    </row>
    <row r="8" spans="1:10" ht="18" customHeight="1" x14ac:dyDescent="0.25">
      <c r="A8" s="18" t="s">
        <v>103</v>
      </c>
      <c r="B8" s="19">
        <v>2003</v>
      </c>
      <c r="C8" s="20"/>
      <c r="D8" s="21"/>
      <c r="E8" s="21"/>
      <c r="F8" s="22" t="str">
        <f t="shared" si="0"/>
        <v/>
      </c>
      <c r="G8" s="27" t="str">
        <f t="shared" si="1"/>
        <v/>
      </c>
      <c r="H8" s="24"/>
      <c r="I8" s="25"/>
      <c r="J8" s="28"/>
    </row>
    <row r="9" spans="1:10" ht="18" customHeight="1" x14ac:dyDescent="0.25">
      <c r="A9" s="18" t="s">
        <v>104</v>
      </c>
      <c r="B9" s="19">
        <v>2004</v>
      </c>
      <c r="C9" s="20"/>
      <c r="D9" s="21"/>
      <c r="E9" s="21"/>
      <c r="F9" s="22" t="str">
        <f t="shared" si="0"/>
        <v/>
      </c>
      <c r="G9" s="27" t="str">
        <f t="shared" si="1"/>
        <v/>
      </c>
      <c r="H9" s="24"/>
      <c r="I9" s="25"/>
      <c r="J9" s="29" t="s">
        <v>105</v>
      </c>
    </row>
    <row r="10" spans="1:10" ht="18" customHeight="1" x14ac:dyDescent="0.25">
      <c r="A10" s="18" t="s">
        <v>106</v>
      </c>
      <c r="B10" s="19">
        <v>2005</v>
      </c>
      <c r="C10" s="20"/>
      <c r="D10" s="21"/>
      <c r="E10" s="21"/>
      <c r="F10" s="22" t="str">
        <f t="shared" si="0"/>
        <v/>
      </c>
      <c r="G10" s="27" t="str">
        <f t="shared" si="1"/>
        <v/>
      </c>
      <c r="H10" s="24"/>
      <c r="I10" s="25"/>
      <c r="J10" s="28"/>
    </row>
    <row r="11" spans="1:10" ht="18" customHeight="1" x14ac:dyDescent="0.25">
      <c r="A11" s="18" t="s">
        <v>107</v>
      </c>
      <c r="B11" s="19">
        <v>2006</v>
      </c>
      <c r="C11" s="20"/>
      <c r="D11" s="21"/>
      <c r="E11" s="21"/>
      <c r="F11" s="22" t="str">
        <f t="shared" si="0"/>
        <v/>
      </c>
      <c r="G11" s="27" t="str">
        <f t="shared" si="1"/>
        <v/>
      </c>
      <c r="H11" s="24"/>
      <c r="I11" s="25"/>
      <c r="J11" s="26"/>
    </row>
    <row r="12" spans="1:10" ht="18" customHeight="1" x14ac:dyDescent="0.25">
      <c r="A12" s="18" t="s">
        <v>108</v>
      </c>
      <c r="B12" s="19">
        <v>2007</v>
      </c>
      <c r="C12" s="20"/>
      <c r="D12" s="21"/>
      <c r="E12" s="21"/>
      <c r="F12" s="22" t="str">
        <f t="shared" si="0"/>
        <v/>
      </c>
      <c r="G12" s="27" t="str">
        <f t="shared" si="1"/>
        <v/>
      </c>
      <c r="H12" s="24"/>
      <c r="I12" s="25"/>
      <c r="J12" s="28"/>
    </row>
    <row r="13" spans="1:10" ht="18" customHeight="1" x14ac:dyDescent="0.25">
      <c r="A13" s="18" t="s">
        <v>109</v>
      </c>
      <c r="B13" s="19">
        <v>2008</v>
      </c>
      <c r="C13" s="20"/>
      <c r="D13" s="21"/>
      <c r="E13" s="21"/>
      <c r="F13" s="22" t="str">
        <f t="shared" si="0"/>
        <v/>
      </c>
      <c r="G13" s="27" t="str">
        <f t="shared" si="1"/>
        <v/>
      </c>
      <c r="H13" s="24"/>
      <c r="I13" s="25"/>
      <c r="J13" s="26"/>
    </row>
    <row r="14" spans="1:10" ht="18" customHeight="1" x14ac:dyDescent="0.25">
      <c r="A14" s="18" t="s">
        <v>110</v>
      </c>
      <c r="B14" s="19">
        <v>2009</v>
      </c>
      <c r="C14" s="20"/>
      <c r="D14" s="21"/>
      <c r="E14" s="21"/>
      <c r="F14" s="22" t="str">
        <f t="shared" si="0"/>
        <v/>
      </c>
      <c r="G14" s="27" t="str">
        <f t="shared" si="1"/>
        <v/>
      </c>
      <c r="H14" s="24"/>
      <c r="I14" s="25"/>
      <c r="J14" s="28"/>
    </row>
    <row r="15" spans="1:10" ht="18" customHeight="1" x14ac:dyDescent="0.25">
      <c r="A15" s="18" t="s">
        <v>111</v>
      </c>
      <c r="B15" s="19">
        <v>2010</v>
      </c>
      <c r="C15" s="20"/>
      <c r="D15" s="21"/>
      <c r="E15" s="21"/>
      <c r="F15" s="22" t="str">
        <f t="shared" si="0"/>
        <v/>
      </c>
      <c r="G15" s="27" t="str">
        <f t="shared" si="1"/>
        <v/>
      </c>
      <c r="H15" s="24"/>
      <c r="I15" s="25"/>
      <c r="J15" s="29" t="s">
        <v>112</v>
      </c>
    </row>
    <row r="16" spans="1:10" ht="18" customHeight="1" x14ac:dyDescent="0.25">
      <c r="A16" s="18" t="s">
        <v>113</v>
      </c>
      <c r="B16" s="19">
        <v>2011</v>
      </c>
      <c r="C16" s="20"/>
      <c r="D16" s="21"/>
      <c r="E16" s="21"/>
      <c r="F16" s="22" t="str">
        <f t="shared" si="0"/>
        <v/>
      </c>
      <c r="G16" s="27" t="str">
        <f t="shared" si="1"/>
        <v/>
      </c>
      <c r="H16" s="24"/>
      <c r="I16" s="25"/>
      <c r="J16" s="28"/>
    </row>
    <row r="17" spans="1:10" ht="18" customHeight="1" x14ac:dyDescent="0.25">
      <c r="A17" s="18" t="s">
        <v>114</v>
      </c>
      <c r="B17" s="19">
        <v>2012</v>
      </c>
      <c r="C17" s="20"/>
      <c r="D17" s="21"/>
      <c r="E17" s="21"/>
      <c r="F17" s="22" t="str">
        <f t="shared" si="0"/>
        <v/>
      </c>
      <c r="G17" s="27" t="str">
        <f t="shared" si="1"/>
        <v/>
      </c>
      <c r="H17" s="24"/>
      <c r="I17" s="25"/>
      <c r="J17" s="26"/>
    </row>
    <row r="18" spans="1:10" ht="18" customHeight="1" x14ac:dyDescent="0.25">
      <c r="A18" s="18" t="s">
        <v>115</v>
      </c>
      <c r="B18" s="19">
        <v>2013</v>
      </c>
      <c r="C18" s="20"/>
      <c r="D18" s="21"/>
      <c r="E18" s="21"/>
      <c r="F18" s="22" t="str">
        <f t="shared" si="0"/>
        <v/>
      </c>
      <c r="G18" s="27" t="str">
        <f t="shared" si="1"/>
        <v/>
      </c>
      <c r="H18" s="24"/>
      <c r="I18" s="25"/>
      <c r="J18" s="28"/>
    </row>
    <row r="19" spans="1:10" ht="18" customHeight="1" x14ac:dyDescent="0.25">
      <c r="A19" s="18" t="s">
        <v>116</v>
      </c>
      <c r="B19" s="19">
        <v>2014</v>
      </c>
      <c r="C19" s="20"/>
      <c r="D19" s="21"/>
      <c r="E19" s="21"/>
      <c r="F19" s="22" t="str">
        <f t="shared" si="0"/>
        <v/>
      </c>
      <c r="G19" s="27" t="str">
        <f t="shared" si="1"/>
        <v/>
      </c>
      <c r="H19" s="24"/>
      <c r="I19" s="25"/>
      <c r="J19" s="26"/>
    </row>
    <row r="20" spans="1:10" ht="18" customHeight="1" x14ac:dyDescent="0.25">
      <c r="A20" s="18" t="s">
        <v>117</v>
      </c>
      <c r="B20" s="19">
        <v>2015</v>
      </c>
      <c r="C20" s="20"/>
      <c r="D20" s="21"/>
      <c r="E20" s="21"/>
      <c r="F20" s="22" t="str">
        <f t="shared" si="0"/>
        <v/>
      </c>
      <c r="G20" s="27" t="str">
        <f t="shared" si="1"/>
        <v/>
      </c>
      <c r="H20" s="24"/>
      <c r="I20" s="25"/>
      <c r="J20" s="28"/>
    </row>
    <row r="21" spans="1:10" ht="18" customHeight="1" x14ac:dyDescent="0.25">
      <c r="A21" s="18" t="s">
        <v>118</v>
      </c>
      <c r="B21" s="19">
        <v>2016</v>
      </c>
      <c r="C21" s="20"/>
      <c r="D21" s="21"/>
      <c r="E21" s="21"/>
      <c r="F21" s="22" t="str">
        <f t="shared" si="0"/>
        <v/>
      </c>
      <c r="G21" s="27" t="str">
        <f t="shared" si="1"/>
        <v/>
      </c>
      <c r="H21" s="24"/>
      <c r="I21" s="25"/>
      <c r="J21" s="26"/>
    </row>
    <row r="22" spans="1:10" ht="18" customHeight="1" x14ac:dyDescent="0.25">
      <c r="A22" s="18" t="s">
        <v>119</v>
      </c>
      <c r="B22" s="19">
        <v>2017</v>
      </c>
      <c r="C22" s="20"/>
      <c r="D22" s="21"/>
      <c r="E22" s="21"/>
      <c r="F22" s="22" t="str">
        <f t="shared" si="0"/>
        <v/>
      </c>
      <c r="G22" s="27" t="str">
        <f t="shared" si="1"/>
        <v/>
      </c>
      <c r="H22" s="24"/>
      <c r="I22" s="25"/>
      <c r="J22" s="29" t="s">
        <v>120</v>
      </c>
    </row>
    <row r="23" spans="1:10" ht="18" customHeight="1" x14ac:dyDescent="0.25">
      <c r="A23" s="18" t="s">
        <v>121</v>
      </c>
      <c r="B23" s="19">
        <v>2018</v>
      </c>
      <c r="C23" s="20"/>
      <c r="D23" s="21"/>
      <c r="E23" s="21"/>
      <c r="F23" s="22" t="str">
        <f t="shared" si="0"/>
        <v/>
      </c>
      <c r="G23" s="27" t="str">
        <f t="shared" si="1"/>
        <v/>
      </c>
      <c r="H23" s="24"/>
      <c r="I23" s="25"/>
      <c r="J23" s="26"/>
    </row>
    <row r="24" spans="1:10" ht="18" customHeight="1" x14ac:dyDescent="0.25">
      <c r="A24" s="18" t="s">
        <v>122</v>
      </c>
      <c r="B24" s="19">
        <v>2019</v>
      </c>
      <c r="C24" s="20"/>
      <c r="D24" s="21"/>
      <c r="E24" s="21"/>
      <c r="F24" s="22" t="str">
        <f t="shared" si="0"/>
        <v/>
      </c>
      <c r="G24" s="27" t="str">
        <f t="shared" si="1"/>
        <v/>
      </c>
      <c r="H24" s="24"/>
      <c r="I24" s="25"/>
      <c r="J24" s="28"/>
    </row>
    <row r="25" spans="1:10" ht="18" customHeight="1" x14ac:dyDescent="0.25">
      <c r="A25" s="18" t="s">
        <v>123</v>
      </c>
      <c r="B25" s="19">
        <v>2020</v>
      </c>
      <c r="C25" s="20"/>
      <c r="D25" s="21"/>
      <c r="E25" s="21"/>
      <c r="F25" s="22" t="str">
        <f t="shared" si="0"/>
        <v/>
      </c>
      <c r="G25" s="27" t="str">
        <f t="shared" si="1"/>
        <v/>
      </c>
      <c r="H25" s="24"/>
      <c r="I25" s="25"/>
      <c r="J25" s="29" t="s">
        <v>124</v>
      </c>
    </row>
    <row r="26" spans="1:10" ht="18" customHeight="1" x14ac:dyDescent="0.25">
      <c r="A26" s="18" t="s">
        <v>125</v>
      </c>
      <c r="B26" s="19">
        <v>2021</v>
      </c>
      <c r="C26" s="20"/>
      <c r="D26" s="21"/>
      <c r="E26" s="21"/>
      <c r="F26" s="22" t="str">
        <f t="shared" si="0"/>
        <v/>
      </c>
      <c r="G26" s="27" t="str">
        <f t="shared" si="1"/>
        <v/>
      </c>
      <c r="H26" s="24"/>
      <c r="I26" s="25"/>
      <c r="J26" s="28"/>
    </row>
    <row r="27" spans="1:10" ht="18" customHeight="1" x14ac:dyDescent="0.25">
      <c r="A27" s="18" t="s">
        <v>126</v>
      </c>
      <c r="B27" s="19">
        <v>2022</v>
      </c>
      <c r="C27" s="20"/>
      <c r="D27" s="21"/>
      <c r="E27" s="21"/>
      <c r="F27" s="22" t="str">
        <f t="shared" si="0"/>
        <v/>
      </c>
      <c r="G27" s="27" t="str">
        <f t="shared" si="1"/>
        <v/>
      </c>
      <c r="H27" s="24"/>
      <c r="I27" s="25"/>
      <c r="J27" s="29" t="s">
        <v>127</v>
      </c>
    </row>
    <row r="28" spans="1:10" ht="18" customHeight="1" x14ac:dyDescent="0.25">
      <c r="A28" s="18" t="s">
        <v>128</v>
      </c>
      <c r="B28" s="19">
        <v>2023</v>
      </c>
      <c r="C28" s="20"/>
      <c r="D28" s="21"/>
      <c r="E28" s="21"/>
      <c r="F28" s="22" t="str">
        <f t="shared" si="0"/>
        <v/>
      </c>
      <c r="G28" s="27" t="str">
        <f t="shared" si="1"/>
        <v/>
      </c>
      <c r="H28" s="24"/>
      <c r="I28" s="25"/>
      <c r="J28" s="28"/>
    </row>
    <row r="30" spans="1:10" ht="20.100000000000001" customHeight="1" x14ac:dyDescent="0.25">
      <c r="A30" s="57" t="s">
        <v>129</v>
      </c>
      <c r="B30" s="45"/>
      <c r="C30" s="30">
        <f>COUNTA(C5:C28)</f>
        <v>0</v>
      </c>
      <c r="D30" s="30">
        <f>COUNTA(D5:D28)</f>
        <v>0</v>
      </c>
      <c r="E30" s="30">
        <f>COUNTA(E5:E28)</f>
        <v>0</v>
      </c>
      <c r="F30" s="30">
        <f>COUNTA(F5:F28)</f>
        <v>24</v>
      </c>
      <c r="G30" s="30">
        <f>COUNTA(G5:G28)</f>
        <v>24</v>
      </c>
      <c r="H30" s="30"/>
      <c r="I30" s="30"/>
      <c r="J30" s="31"/>
    </row>
    <row r="31" spans="1:10" ht="20.100000000000001" customHeight="1" x14ac:dyDescent="0.25">
      <c r="A31" s="57" t="s">
        <v>130</v>
      </c>
      <c r="B31" s="45"/>
      <c r="C31" s="32" t="e">
        <f>AVERAGE(C5:C28)</f>
        <v>#DIV/0!</v>
      </c>
      <c r="D31" s="32" t="e">
        <f>AVERAGE(D5:D28)</f>
        <v>#DIV/0!</v>
      </c>
      <c r="E31" s="32" t="e">
        <f>AVERAGE(E5:E28)</f>
        <v>#DIV/0!</v>
      </c>
      <c r="F31" s="32"/>
      <c r="G31" s="32"/>
      <c r="H31" s="32" t="e">
        <f>AVERAGE(H5:H28)</f>
        <v>#DIV/0!</v>
      </c>
      <c r="I31" s="32" t="e">
        <f>AVERAGE(I5:I28)</f>
        <v>#DIV/0!</v>
      </c>
      <c r="J31" s="33"/>
    </row>
    <row r="32" spans="1:10" ht="20.100000000000001" customHeight="1" x14ac:dyDescent="0.25">
      <c r="A32" s="57" t="s">
        <v>131</v>
      </c>
      <c r="B32" s="45"/>
      <c r="C32" s="32">
        <f>MIN(C5:C28)</f>
        <v>0</v>
      </c>
      <c r="D32" s="32">
        <f>MIN(D5:D28)</f>
        <v>0</v>
      </c>
      <c r="E32" s="32">
        <f>MIN(E5:E28)</f>
        <v>0</v>
      </c>
      <c r="F32" s="32"/>
      <c r="G32" s="32"/>
      <c r="H32" s="32">
        <f>MIN(H5:H28)</f>
        <v>0</v>
      </c>
      <c r="I32" s="32">
        <f>MIN(I5:I28)</f>
        <v>0</v>
      </c>
      <c r="J32" s="33"/>
    </row>
    <row r="33" spans="1:10" ht="20.100000000000001" customHeight="1" x14ac:dyDescent="0.25">
      <c r="A33" s="57" t="s">
        <v>132</v>
      </c>
      <c r="B33" s="45"/>
      <c r="C33" s="32">
        <f>MAX(C5:C28)</f>
        <v>0</v>
      </c>
      <c r="D33" s="32">
        <f>MAX(D5:D28)</f>
        <v>0</v>
      </c>
      <c r="E33" s="32">
        <f>MAX(E5:E28)</f>
        <v>0</v>
      </c>
      <c r="F33" s="32"/>
      <c r="G33" s="32"/>
      <c r="H33" s="32">
        <f>MAX(H5:H28)</f>
        <v>0</v>
      </c>
      <c r="I33" s="32">
        <f>MAX(I5:I28)</f>
        <v>0</v>
      </c>
      <c r="J33" s="33"/>
    </row>
    <row r="34" spans="1:10" ht="20.100000000000001" customHeight="1" x14ac:dyDescent="0.25">
      <c r="A34" s="57" t="s">
        <v>133</v>
      </c>
      <c r="B34" s="45"/>
      <c r="C34" s="32" t="e">
        <f>STDEV(C5:C28)</f>
        <v>#DIV/0!</v>
      </c>
      <c r="D34" s="32" t="e">
        <f>STDEV(D5:D28)</f>
        <v>#DIV/0!</v>
      </c>
      <c r="E34" s="32" t="e">
        <f>STDEV(E5:E28)</f>
        <v>#DIV/0!</v>
      </c>
      <c r="F34" s="32"/>
      <c r="G34" s="32"/>
      <c r="H34" s="32" t="e">
        <f>STDEV(H5:H28)</f>
        <v>#DIV/0!</v>
      </c>
      <c r="I34" s="32" t="e">
        <f>STDEV(I5:I28)</f>
        <v>#DIV/0!</v>
      </c>
      <c r="J34" s="33"/>
    </row>
    <row r="36" spans="1:10" ht="30" customHeight="1" x14ac:dyDescent="0.25">
      <c r="A36" s="59" t="s">
        <v>134</v>
      </c>
      <c r="B36" s="45"/>
      <c r="C36" s="45"/>
      <c r="D36" s="45"/>
      <c r="E36" s="45"/>
      <c r="F36" s="45"/>
      <c r="G36" s="45"/>
      <c r="H36" s="45"/>
      <c r="I36" s="45"/>
      <c r="J36" s="45"/>
    </row>
  </sheetData>
  <mergeCells count="12">
    <mergeCell ref="A1:J1"/>
    <mergeCell ref="A30:B30"/>
    <mergeCell ref="D3:G3"/>
    <mergeCell ref="A36:J36"/>
    <mergeCell ref="C3"/>
    <mergeCell ref="A33:B33"/>
    <mergeCell ref="A32:B32"/>
    <mergeCell ref="A2:J2"/>
    <mergeCell ref="H3:J3"/>
    <mergeCell ref="A31:B31"/>
    <mergeCell ref="A3:B3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selection sqref="A1:C1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72" customWidth="1"/>
  </cols>
  <sheetData>
    <row r="1" spans="1:3" ht="36" customHeight="1" x14ac:dyDescent="0.25">
      <c r="A1" s="65" t="s">
        <v>135</v>
      </c>
      <c r="B1" s="45"/>
      <c r="C1" s="45"/>
    </row>
    <row r="2" spans="1:3" ht="24" customHeight="1" x14ac:dyDescent="0.25">
      <c r="A2" s="63" t="s">
        <v>136</v>
      </c>
      <c r="B2" s="45"/>
      <c r="C2" s="45"/>
    </row>
    <row r="3" spans="1:3" ht="18" customHeight="1" x14ac:dyDescent="0.25">
      <c r="A3" s="10" t="s">
        <v>137</v>
      </c>
      <c r="B3" s="10" t="s">
        <v>138</v>
      </c>
      <c r="C3" s="10" t="s">
        <v>139</v>
      </c>
    </row>
    <row r="4" spans="1:3" ht="33.950000000000003" customHeight="1" x14ac:dyDescent="0.25">
      <c r="A4" s="34" t="s">
        <v>140</v>
      </c>
      <c r="B4" s="35" t="s">
        <v>141</v>
      </c>
      <c r="C4" s="36" t="s">
        <v>142</v>
      </c>
    </row>
    <row r="5" spans="1:3" ht="33.950000000000003" customHeight="1" x14ac:dyDescent="0.25">
      <c r="A5" s="37" t="s">
        <v>143</v>
      </c>
      <c r="B5" s="38" t="s">
        <v>144</v>
      </c>
      <c r="C5" s="39" t="s">
        <v>145</v>
      </c>
    </row>
    <row r="6" spans="1:3" ht="33.950000000000003" customHeight="1" x14ac:dyDescent="0.25">
      <c r="A6" s="34" t="s">
        <v>146</v>
      </c>
      <c r="B6" s="35" t="s">
        <v>147</v>
      </c>
      <c r="C6" s="36" t="s">
        <v>148</v>
      </c>
    </row>
    <row r="7" spans="1:3" ht="33.950000000000003" customHeight="1" x14ac:dyDescent="0.25">
      <c r="A7" s="37" t="s">
        <v>149</v>
      </c>
      <c r="B7" s="38" t="s">
        <v>150</v>
      </c>
      <c r="C7" s="39" t="s">
        <v>151</v>
      </c>
    </row>
    <row r="8" spans="1:3" ht="33.950000000000003" customHeight="1" x14ac:dyDescent="0.25">
      <c r="A8" s="34" t="s">
        <v>152</v>
      </c>
      <c r="B8" s="35" t="s">
        <v>153</v>
      </c>
      <c r="C8" s="36" t="s">
        <v>154</v>
      </c>
    </row>
    <row r="10" spans="1:3" ht="24" customHeight="1" x14ac:dyDescent="0.25">
      <c r="A10" s="63" t="s">
        <v>155</v>
      </c>
      <c r="B10" s="45"/>
      <c r="C10" s="45"/>
    </row>
    <row r="11" spans="1:3" ht="18" customHeight="1" x14ac:dyDescent="0.25">
      <c r="A11" s="10" t="s">
        <v>137</v>
      </c>
      <c r="B11" s="10" t="s">
        <v>138</v>
      </c>
      <c r="C11" s="10" t="s">
        <v>139</v>
      </c>
    </row>
    <row r="12" spans="1:3" ht="33.950000000000003" customHeight="1" x14ac:dyDescent="0.25">
      <c r="A12" s="34" t="s">
        <v>140</v>
      </c>
      <c r="B12" s="35" t="s">
        <v>156</v>
      </c>
      <c r="C12" s="36" t="s">
        <v>157</v>
      </c>
    </row>
    <row r="13" spans="1:3" ht="33.950000000000003" customHeight="1" x14ac:dyDescent="0.25">
      <c r="A13" s="37" t="s">
        <v>143</v>
      </c>
      <c r="B13" s="38" t="s">
        <v>144</v>
      </c>
      <c r="C13" s="39" t="s">
        <v>158</v>
      </c>
    </row>
    <row r="14" spans="1:3" ht="33.950000000000003" customHeight="1" x14ac:dyDescent="0.25">
      <c r="A14" s="34" t="s">
        <v>146</v>
      </c>
      <c r="B14" s="35" t="s">
        <v>159</v>
      </c>
      <c r="C14" s="36" t="s">
        <v>160</v>
      </c>
    </row>
    <row r="15" spans="1:3" ht="33.950000000000003" customHeight="1" x14ac:dyDescent="0.25">
      <c r="A15" s="37" t="s">
        <v>149</v>
      </c>
      <c r="B15" s="38" t="s">
        <v>161</v>
      </c>
      <c r="C15" s="39" t="s">
        <v>162</v>
      </c>
    </row>
    <row r="16" spans="1:3" ht="33.950000000000003" customHeight="1" x14ac:dyDescent="0.25">
      <c r="A16" s="34" t="s">
        <v>152</v>
      </c>
      <c r="B16" s="35" t="s">
        <v>163</v>
      </c>
      <c r="C16" s="36" t="s">
        <v>164</v>
      </c>
    </row>
    <row r="17" spans="1:3" ht="33.950000000000003" customHeight="1" x14ac:dyDescent="0.25">
      <c r="A17" s="37" t="s">
        <v>165</v>
      </c>
      <c r="B17" s="38" t="s">
        <v>166</v>
      </c>
      <c r="C17" s="39" t="s">
        <v>167</v>
      </c>
    </row>
    <row r="19" spans="1:3" ht="24" customHeight="1" x14ac:dyDescent="0.25">
      <c r="A19" s="63" t="s">
        <v>168</v>
      </c>
      <c r="B19" s="45"/>
      <c r="C19" s="45"/>
    </row>
    <row r="20" spans="1:3" ht="18" customHeight="1" x14ac:dyDescent="0.25">
      <c r="A20" s="10" t="s">
        <v>137</v>
      </c>
      <c r="B20" s="10" t="s">
        <v>138</v>
      </c>
      <c r="C20" s="10" t="s">
        <v>139</v>
      </c>
    </row>
    <row r="21" spans="1:3" ht="33.950000000000003" customHeight="1" x14ac:dyDescent="0.25">
      <c r="A21" s="34" t="s">
        <v>140</v>
      </c>
      <c r="B21" s="35" t="s">
        <v>156</v>
      </c>
      <c r="C21" s="36" t="s">
        <v>169</v>
      </c>
    </row>
    <row r="22" spans="1:3" ht="33.950000000000003" customHeight="1" x14ac:dyDescent="0.25">
      <c r="A22" s="37" t="s">
        <v>143</v>
      </c>
      <c r="B22" s="38" t="s">
        <v>170</v>
      </c>
      <c r="C22" s="39" t="s">
        <v>171</v>
      </c>
    </row>
    <row r="23" spans="1:3" ht="33.950000000000003" customHeight="1" x14ac:dyDescent="0.25">
      <c r="A23" s="34" t="s">
        <v>146</v>
      </c>
      <c r="B23" s="35" t="s">
        <v>172</v>
      </c>
      <c r="C23" s="36" t="s">
        <v>173</v>
      </c>
    </row>
    <row r="24" spans="1:3" ht="33.950000000000003" customHeight="1" x14ac:dyDescent="0.25">
      <c r="A24" s="37" t="s">
        <v>149</v>
      </c>
      <c r="B24" s="38" t="s">
        <v>163</v>
      </c>
      <c r="C24" s="39" t="s">
        <v>174</v>
      </c>
    </row>
    <row r="25" spans="1:3" ht="33.950000000000003" customHeight="1" x14ac:dyDescent="0.25">
      <c r="A25" s="34" t="s">
        <v>152</v>
      </c>
      <c r="B25" s="35" t="s">
        <v>175</v>
      </c>
      <c r="C25" s="36" t="s">
        <v>176</v>
      </c>
    </row>
    <row r="26" spans="1:3" ht="33.950000000000003" customHeight="1" x14ac:dyDescent="0.25">
      <c r="A26" s="37" t="s">
        <v>165</v>
      </c>
      <c r="B26" s="38" t="s">
        <v>177</v>
      </c>
      <c r="C26" s="39" t="s">
        <v>178</v>
      </c>
    </row>
    <row r="28" spans="1:3" ht="24" customHeight="1" x14ac:dyDescent="0.25">
      <c r="A28" s="64" t="s">
        <v>179</v>
      </c>
      <c r="B28" s="45"/>
      <c r="C28" s="45"/>
    </row>
    <row r="29" spans="1:3" ht="18" customHeight="1" x14ac:dyDescent="0.25">
      <c r="A29" s="10" t="s">
        <v>137</v>
      </c>
      <c r="B29" s="10" t="s">
        <v>138</v>
      </c>
      <c r="C29" s="10" t="s">
        <v>139</v>
      </c>
    </row>
    <row r="30" spans="1:3" ht="33.950000000000003" customHeight="1" x14ac:dyDescent="0.25">
      <c r="A30" s="34" t="s">
        <v>140</v>
      </c>
      <c r="B30" s="35" t="s">
        <v>180</v>
      </c>
      <c r="C30" s="36" t="s">
        <v>181</v>
      </c>
    </row>
    <row r="31" spans="1:3" ht="33.950000000000003" customHeight="1" x14ac:dyDescent="0.25">
      <c r="A31" s="37" t="s">
        <v>143</v>
      </c>
      <c r="B31" s="38" t="s">
        <v>182</v>
      </c>
      <c r="C31" s="39" t="s">
        <v>183</v>
      </c>
    </row>
    <row r="32" spans="1:3" ht="33.950000000000003" customHeight="1" x14ac:dyDescent="0.25">
      <c r="A32" s="34" t="s">
        <v>146</v>
      </c>
      <c r="B32" s="35" t="s">
        <v>184</v>
      </c>
      <c r="C32" s="36" t="s">
        <v>185</v>
      </c>
    </row>
    <row r="34" spans="1:3" ht="24" customHeight="1" x14ac:dyDescent="0.25">
      <c r="A34" s="64" t="s">
        <v>186</v>
      </c>
      <c r="B34" s="45"/>
      <c r="C34" s="45"/>
    </row>
    <row r="35" spans="1:3" ht="18" customHeight="1" x14ac:dyDescent="0.25">
      <c r="A35" s="10" t="s">
        <v>137</v>
      </c>
      <c r="B35" s="10" t="s">
        <v>138</v>
      </c>
      <c r="C35" s="10" t="s">
        <v>139</v>
      </c>
    </row>
    <row r="36" spans="1:3" ht="33.950000000000003" customHeight="1" x14ac:dyDescent="0.25">
      <c r="A36" s="34" t="s">
        <v>140</v>
      </c>
      <c r="B36" s="35" t="s">
        <v>180</v>
      </c>
      <c r="C36" s="36" t="s">
        <v>187</v>
      </c>
    </row>
    <row r="37" spans="1:3" ht="33.950000000000003" customHeight="1" x14ac:dyDescent="0.25">
      <c r="A37" s="37" t="s">
        <v>143</v>
      </c>
      <c r="B37" s="38" t="s">
        <v>188</v>
      </c>
      <c r="C37" s="39" t="s">
        <v>189</v>
      </c>
    </row>
    <row r="38" spans="1:3" ht="33.950000000000003" customHeight="1" x14ac:dyDescent="0.25">
      <c r="A38" s="34" t="s">
        <v>146</v>
      </c>
      <c r="B38" s="35" t="s">
        <v>190</v>
      </c>
      <c r="C38" s="36" t="s">
        <v>191</v>
      </c>
    </row>
  </sheetData>
  <mergeCells count="6">
    <mergeCell ref="A10:C10"/>
    <mergeCell ref="A28:C28"/>
    <mergeCell ref="A19:C19"/>
    <mergeCell ref="A1:C1"/>
    <mergeCell ref="A34:C3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tabSelected="1" workbookViewId="0">
      <selection sqref="A1:B1"/>
    </sheetView>
  </sheetViews>
  <sheetFormatPr baseColWidth="10" defaultColWidth="9.140625" defaultRowHeight="15" x14ac:dyDescent="0.25"/>
  <cols>
    <col min="1" max="1" width="30" customWidth="1"/>
    <col min="2" max="2" width="78" customWidth="1"/>
  </cols>
  <sheetData>
    <row r="1" spans="1:2" ht="36" customHeight="1" x14ac:dyDescent="0.25">
      <c r="A1" s="65" t="s">
        <v>192</v>
      </c>
      <c r="B1" s="45"/>
    </row>
    <row r="2" spans="1:2" ht="24" customHeight="1" x14ac:dyDescent="0.25">
      <c r="A2" s="63" t="s">
        <v>193</v>
      </c>
      <c r="B2" s="45"/>
    </row>
    <row r="3" spans="1:2" ht="44.1" customHeight="1" x14ac:dyDescent="0.25">
      <c r="A3" s="40" t="s">
        <v>194</v>
      </c>
      <c r="B3" s="41" t="s">
        <v>195</v>
      </c>
    </row>
    <row r="4" spans="1:2" ht="44.1" customHeight="1" x14ac:dyDescent="0.25">
      <c r="A4" s="42" t="s">
        <v>196</v>
      </c>
      <c r="B4" s="43" t="s">
        <v>197</v>
      </c>
    </row>
    <row r="5" spans="1:2" ht="44.1" customHeight="1" x14ac:dyDescent="0.25">
      <c r="A5" s="40" t="s">
        <v>198</v>
      </c>
      <c r="B5" s="41" t="s">
        <v>199</v>
      </c>
    </row>
    <row r="6" spans="1:2" ht="44.1" customHeight="1" x14ac:dyDescent="0.25">
      <c r="A6" s="42" t="s">
        <v>200</v>
      </c>
      <c r="B6" s="43" t="s">
        <v>201</v>
      </c>
    </row>
    <row r="7" spans="1:2" ht="44.1" customHeight="1" x14ac:dyDescent="0.25">
      <c r="A7" s="40" t="s">
        <v>202</v>
      </c>
      <c r="B7" s="41" t="s">
        <v>203</v>
      </c>
    </row>
    <row r="8" spans="1:2" ht="44.1" customHeight="1" x14ac:dyDescent="0.25">
      <c r="A8" s="42" t="s">
        <v>204</v>
      </c>
      <c r="B8" s="43" t="s">
        <v>205</v>
      </c>
    </row>
    <row r="10" spans="1:2" ht="24" customHeight="1" x14ac:dyDescent="0.25">
      <c r="A10" s="63" t="s">
        <v>206</v>
      </c>
      <c r="B10" s="45"/>
    </row>
    <row r="11" spans="1:2" ht="44.1" customHeight="1" x14ac:dyDescent="0.25">
      <c r="A11" s="40" t="s">
        <v>207</v>
      </c>
      <c r="B11" s="41" t="s">
        <v>208</v>
      </c>
    </row>
    <row r="12" spans="1:2" ht="44.1" customHeight="1" x14ac:dyDescent="0.25">
      <c r="A12" s="42" t="s">
        <v>209</v>
      </c>
      <c r="B12" s="43" t="s">
        <v>210</v>
      </c>
    </row>
    <row r="13" spans="1:2" ht="44.1" customHeight="1" x14ac:dyDescent="0.25">
      <c r="A13" s="40" t="s">
        <v>211</v>
      </c>
      <c r="B13" s="41" t="s">
        <v>212</v>
      </c>
    </row>
    <row r="14" spans="1:2" ht="44.1" customHeight="1" x14ac:dyDescent="0.25">
      <c r="A14" s="42" t="s">
        <v>213</v>
      </c>
      <c r="B14" s="43" t="s">
        <v>214</v>
      </c>
    </row>
    <row r="15" spans="1:2" ht="44.1" customHeight="1" x14ac:dyDescent="0.25">
      <c r="A15" s="40" t="s">
        <v>215</v>
      </c>
      <c r="B15" s="41" t="s">
        <v>216</v>
      </c>
    </row>
    <row r="16" spans="1:2" ht="44.1" customHeight="1" x14ac:dyDescent="0.25">
      <c r="A16" s="42" t="s">
        <v>217</v>
      </c>
      <c r="B16" s="43" t="s">
        <v>218</v>
      </c>
    </row>
    <row r="18" spans="1:2" ht="24" customHeight="1" x14ac:dyDescent="0.25">
      <c r="A18" s="64" t="s">
        <v>219</v>
      </c>
      <c r="B18" s="45"/>
    </row>
    <row r="19" spans="1:2" ht="44.1" customHeight="1" x14ac:dyDescent="0.25">
      <c r="A19" s="40" t="s">
        <v>220</v>
      </c>
      <c r="B19" s="41" t="s">
        <v>221</v>
      </c>
    </row>
    <row r="20" spans="1:2" ht="44.1" customHeight="1" x14ac:dyDescent="0.25">
      <c r="A20" s="42" t="s">
        <v>222</v>
      </c>
      <c r="B20" s="43" t="s">
        <v>223</v>
      </c>
    </row>
    <row r="21" spans="1:2" ht="44.1" customHeight="1" x14ac:dyDescent="0.25">
      <c r="A21" s="40" t="s">
        <v>224</v>
      </c>
      <c r="B21" s="41" t="s">
        <v>225</v>
      </c>
    </row>
    <row r="22" spans="1:2" ht="44.1" customHeight="1" x14ac:dyDescent="0.25">
      <c r="A22" s="42" t="s">
        <v>226</v>
      </c>
      <c r="B22" s="43" t="s">
        <v>227</v>
      </c>
    </row>
    <row r="23" spans="1:2" ht="44.1" customHeight="1" x14ac:dyDescent="0.25">
      <c r="A23" s="40" t="s">
        <v>228</v>
      </c>
      <c r="B23" s="41" t="s">
        <v>229</v>
      </c>
    </row>
    <row r="24" spans="1:2" ht="44.1" customHeight="1" x14ac:dyDescent="0.25">
      <c r="A24" s="42" t="s">
        <v>230</v>
      </c>
      <c r="B24" s="43" t="s">
        <v>231</v>
      </c>
    </row>
    <row r="26" spans="1:2" ht="24" customHeight="1" x14ac:dyDescent="0.25">
      <c r="A26" s="63" t="s">
        <v>232</v>
      </c>
      <c r="B26" s="45"/>
    </row>
    <row r="27" spans="1:2" ht="44.1" customHeight="1" x14ac:dyDescent="0.25">
      <c r="A27" s="40" t="s">
        <v>233</v>
      </c>
      <c r="B27" s="41" t="s">
        <v>234</v>
      </c>
    </row>
    <row r="28" spans="1:2" ht="44.1" customHeight="1" x14ac:dyDescent="0.25">
      <c r="A28" s="42" t="s">
        <v>235</v>
      </c>
      <c r="B28" s="43" t="s">
        <v>236</v>
      </c>
    </row>
    <row r="29" spans="1:2" ht="44.1" customHeight="1" x14ac:dyDescent="0.25">
      <c r="A29" s="40" t="s">
        <v>237</v>
      </c>
      <c r="B29" s="41" t="s">
        <v>238</v>
      </c>
    </row>
    <row r="30" spans="1:2" ht="44.1" customHeight="1" x14ac:dyDescent="0.25">
      <c r="A30" s="42" t="s">
        <v>239</v>
      </c>
      <c r="B30" s="43" t="s">
        <v>240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 TÉCNICA</vt:lpstr>
      <vt:lpstr>BASE DE DATOS</vt:lpstr>
      <vt:lpstr>GUÍA DE DESCARGA</vt:lpstr>
      <vt:lpstr>MODELO ECONOMÉTRICO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Palomino</cp:lastModifiedBy>
  <dcterms:created xsi:type="dcterms:W3CDTF">2026-06-05T16:58:25Z</dcterms:created>
  <dcterms:modified xsi:type="dcterms:W3CDTF">2026-06-05T17:56:39Z</dcterms:modified>
</cp:coreProperties>
</file>